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1d0ae1675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4be540423154bb8"/>
    <x:sheet xmlns:r="http://schemas.openxmlformats.org/officeDocument/2006/relationships" name="Inventory Planner" sheetId="2" r:id="Rdc2fb547a6e04469"/>
    <x:sheet xmlns:r="http://schemas.openxmlformats.org/officeDocument/2006/relationships" name="ABC Analysis" sheetId="3" r:id="Rc585abbd972d4bfd"/>
    <x:sheet xmlns:r="http://schemas.openxmlformats.org/officeDocument/2006/relationships" name="Model Results" sheetId="4" r:id="R57df9eeaf3704b1b"/>
    <x:sheet xmlns:r="http://schemas.openxmlformats.org/officeDocument/2006/relationships" name="Assumptions" sheetId="5" r:id="R93d63ecf8bf74035"/>
    <x:sheet xmlns:r="http://schemas.openxmlformats.org/officeDocument/2006/relationships" name="Forecast Trend" sheetId="6" r:id="R3bdda956dacd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0"/>
    <x:numFmt numFmtId="202" formatCode="£#,##0.00"/>
    <x:numFmt numFmtId="203" formatCode="£#,##0"/>
    <x:numFmt numFmtId="204" formatCode="0.0%"/>
    <x:numFmt numFmtId="205" formatCode="dd-mmm-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E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E"/>
      </x:patternFill>
    </x:fill>
    <x:fill>
      <x:patternFill patternType="solid">
        <x:fgColor rgb="FF0C786C"/>
      </x:patternFill>
    </x:fill>
    <x:fill>
      <x:patternFill patternType="solid">
        <x:fgColor rgb="FFFFF4E6"/>
      </x:patternFill>
    </x:fill>
    <x:fill>
      <x:patternFill patternType="solid">
        <x:fgColor rgb="FFE6F3F1"/>
      </x:patternFill>
    </x:fill>
    <x:fill>
      <x:patternFill patternType="solid">
        <x:fgColor rgb="FFEBF5FF"/>
      </x:patternFill>
    </x:fill>
    <x:fill>
      <x:patternFill patternType="solid">
        <x:fgColor rgb="FFF0F5F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abcbef9ed4111" /><Relationship Type="http://schemas.openxmlformats.org/officeDocument/2006/relationships/theme" Target="/xl/theme/theme1.xml" Id="R5f1156052edf4bcd" /><Relationship Type="http://schemas.openxmlformats.org/officeDocument/2006/relationships/sharedStrings" Target="/xl/sharedStrings.xml" Id="R1f00fbb2c09a459b" /><Relationship Type="http://schemas.openxmlformats.org/officeDocument/2006/relationships/worksheet" Target="/xl/worksheets/sheet1.xml" Id="R44be540423154bb8" /><Relationship Type="http://schemas.openxmlformats.org/officeDocument/2006/relationships/worksheet" Target="/xl/worksheets/sheet2.xml" Id="Rdc2fb547a6e04469" /><Relationship Type="http://schemas.openxmlformats.org/officeDocument/2006/relationships/worksheet" Target="/xl/worksheets/sheet3.xml" Id="Rc585abbd972d4bfd" /><Relationship Type="http://schemas.openxmlformats.org/officeDocument/2006/relationships/worksheet" Target="/xl/worksheets/sheet4.xml" Id="R57df9eeaf3704b1b" /><Relationship Type="http://schemas.openxmlformats.org/officeDocument/2006/relationships/worksheet" Target="/xl/worksheets/sheet5.xml" Id="R93d63ecf8bf74035" /><Relationship Type="http://schemas.openxmlformats.org/officeDocument/2006/relationships/worksheet" Target="/xl/worksheets/sheet6.xml" Id="R3bdda956dacd46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d3c8e8fc734c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SKU demand: history &amp; forward forecast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Historical actual units</c:v>
          </c:tx>
          <c:marker>
            <c:symbol val="none"/>
          </c:marker>
          <c:cat>
            <c:strRef>
              <c:f>'Forecast Trend'!$A$4:$A$87</c:f>
              <c:strCache>
                <c:ptCount val="0"/>
              </c:strCache>
            </c:strRef>
          </c:cat>
          <c:val>
            <c:numRef>
              <c:f>'Forecast Trend'!$B$4:$B$87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Forecast units</c:v>
          </c:tx>
          <c:marker>
            <c:symbol val="none"/>
          </c:marker>
          <c:cat>
            <c:strRef>
              <c:f>'Forecast Trend'!$A$4:$A$87</c:f>
              <c:strCache>
                <c:ptCount val="0"/>
              </c:strCache>
            </c:strRef>
          </c:cat>
          <c:val>
            <c:numRef>
              <c:f>'Forecast Trend'!$C$4:$C$87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d3c8e8fc734c0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af8e9a2b507436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7" customHeight="1">
      <x:c r="A1" s="4" t="str">
        <x:v>Demand Forecasting &amp; Inventory Optimization | Demo</x:v>
      </x:c>
      <x:c r="B1" s="4"/>
      <x:c r="C1" s="4"/>
      <x:c r="D1" s="4"/>
      <x:c r="E1" s="4"/>
      <x:c r="F1" s="4"/>
      <x:c r="G1" s="4"/>
      <x:c r="H1" s="4"/>
    </x:row>
    <x:row r="2" ht="31" customHeight="1">
      <x:c r="A2" s="42" t="str">
        <x:v>SIMULATED RETAILER • 30 SKUs • as of 31 Dec 2025 • £ GBP • NOT actual savings</x:v>
      </x:c>
      <x:c r="B2" s="42"/>
      <x:c r="C2" s="42"/>
      <x:c r="D2" s="42"/>
      <x:c r="E2" s="42"/>
      <x:c r="F2" s="42"/>
      <x:c r="G2" s="42"/>
      <x:c r="H2" s="42"/>
    </x:row>
    <x:row r="4" ht="26" customHeight="1">
      <x:c r="A4" s="11" t="str">
        <x:v>Key indicator</x:v>
      </x:c>
      <x:c r="B4" s="11" t="str">
        <x:v>Value</x:v>
      </x:c>
    </x:row>
    <x:row r="5">
      <x:c r="A5" t="str">
        <x:v>SKU count</x:v>
      </x:c>
      <x:c r="B5" t="n">
        <x:f>COUNTA('Inventory Planner'!A4:A33)</x:f>
        <x:v>30</x:v>
      </x:c>
    </x:row>
    <x:row r="6">
      <x:c r="A6" t="str">
        <x:v>Annual sales revenue (£)</x:v>
      </x:c>
      <x:c r="B6" s="34" t="n">
        <x:f>SUM('ABC Analysis'!D4:D33)</x:f>
        <x:v>10600114.520000001</x:v>
      </x:c>
    </x:row>
    <x:row r="7">
      <x:c r="A7" t="str">
        <x:v>Forward 28-day units</x:v>
      </x:c>
      <x:c r="B7" t="n">
        <x:v>15590.2</x:v>
      </x:c>
    </x:row>
    <x:row r="8">
      <x:c r="A8" t="str">
        <x:v>Held-out test WAPE (%)</x:v>
      </x:c>
      <x:c r="B8" s="26" t="n">
        <x:v>21.5325</x:v>
      </x:c>
    </x:row>
    <x:row r="9">
      <x:c r="A9" t="str">
        <x:v>High stockout risk (model)</x:v>
      </x:c>
      <x:c r="B9" t="n">
        <x:f>COUNTIF('Inventory Planner'!P4:P33,"&gt;=0.7")</x:f>
        <x:v>13</x:v>
      </x:c>
    </x:row>
    <x:row r="10">
      <x:c r="A10" t="str">
        <x:v>Reorder now (model)</x:v>
      </x:c>
      <x:c r="B10" t="n">
        <x:f>COUNTIF('Inventory Planner'!R4:R33,"REORDER")</x:f>
        <x:v>17</x:v>
      </x:c>
    </x:row>
    <x:row r="11">
      <x:c r="A11" t="str">
        <x:v>Suggested purchase cost (£)</x:v>
      </x:c>
      <x:c r="B11" s="34" t="n">
        <x:f>SUM('Inventory Planner'!Q4:Q33)</x:f>
        <x:v>166665.73</x:v>
      </x:c>
    </x:row>
    <x:row r="14" ht="36" customHeight="1">
      <x:c r="A14" s="38" t="str">
        <x:v>How to use</x:v>
      </x:c>
      <x:c r="B14" s="38" t="str">
        <x:v>Edit input values in Inventory Planner. Formula columns recalc safety stock, ROP and quantities. Python risk probability is static.</x:v>
      </x:c>
      <x:c r="C14" s="38"/>
      <x:c r="D14" s="38"/>
      <x:c r="E14" s="38"/>
      <x:c r="F14" s="38"/>
      <x:c r="G14" s="38"/>
      <x:c r="H14" s="38"/>
    </x:row>
    <x:row r="15" ht="36" customHeight="1">
      <x:c r="A15" s="38" t="str">
        <x:v>Notes</x:v>
      </x:c>
      <x:c r="B15" s="38" t="str">
        <x:v>No actual stockouts, orders, supplier data, service levels or financial uplift were measured.</x:v>
      </x:c>
      <x:c r="C15" s="38"/>
      <x:c r="D15" s="38"/>
      <x:c r="E15" s="38"/>
      <x:c r="F15" s="38"/>
      <x:c r="G15" s="38"/>
      <x:c r="H15" s="38"/>
    </x:row>
    <x:row r="17" ht="32" customHeight="1">
      <x:c r="A17" s="45" t="str">
        <x:v>Deliverables</x:v>
      </x:c>
      <x:c r="B17" s="45" t="str">
        <x:v>Power BI build guide: docs/POWER_BI_GUIDE.md | SQL: sql/01_analytics.sql | Python: src/run_pipeline.py</x:v>
      </x:c>
      <x:c r="C17" s="45"/>
      <x:c r="D17" s="45"/>
      <x:c r="E17" s="45"/>
      <x:c r="F17" s="45"/>
      <x:c r="G17" s="45"/>
      <x:c r="H17" s="45"/>
    </x:row>
  </x:sheetData>
  <x:mergeCells>
    <x:mergeCell ref="A1:H1"/>
    <x:mergeCell ref="A2:H2"/>
    <x:mergeCell ref="B14:H14"/>
    <x:mergeCell ref="B15:H15"/>
    <x:mergeCell ref="B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2" max="2" width="27" hidden="0" customWidth="1"/>
    <x:col min="1" max="1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7" customHeight="1">
      <x:c r="A1" s="4" t="str">
        <x:v>Inventory planner | Editable assumptions, formula-driven reorder decisions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3" customHeight="1">
      <x:c r="A2" s="23" t="str">
        <x:v>Input columns A:J; formula columns K:O, Q:R; P is STATIC Python risk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</x:row>
    <x:row r="3" ht="26" customHeight="1">
      <x:c r="A3" s="11" t="str">
        <x:v>SKU</x:v>
      </x:c>
      <x:c r="B3" s="11" t="str">
        <x:v>Product</x:v>
      </x:c>
      <x:c r="C3" s="11" t="str">
        <x:v>ABC</x:v>
      </x:c>
      <x:c r="D3" s="11" t="str">
        <x:v>Daily forecast</x:v>
      </x:c>
      <x:c r="E3" s="11" t="str">
        <x:v>Daily std dev</x:v>
      </x:c>
      <x:c r="F3" s="11" t="str">
        <x:v>Lead days</x:v>
      </x:c>
      <x:c r="G3" s="11" t="str">
        <x:v>On hand</x:v>
      </x:c>
      <x:c r="H3" s="11" t="str">
        <x:v>On order</x:v>
      </x:c>
      <x:c r="I3" s="11" t="str">
        <x:v>Backorders</x:v>
      </x:c>
      <x:c r="J3" s="11" t="str">
        <x:v>Unit cost (£)</x:v>
      </x:c>
      <x:c r="K3" s="11" t="str">
        <x:v>Inventory position</x:v>
      </x:c>
      <x:c r="L3" s="11" t="str">
        <x:v>Safety stock</x:v>
      </x:c>
      <x:c r="M3" s="11" t="str">
        <x:v>Reorder point</x:v>
      </x:c>
      <x:c r="N3" s="11" t="str">
        <x:v>Target stock</x:v>
      </x:c>
      <x:c r="O3" s="11" t="str">
        <x:v>Reorder qty</x:v>
      </x:c>
      <x:c r="P3" s="11" t="str">
        <x:v>Risk (Python)</x:v>
      </x:c>
      <x:c r="Q3" s="11" t="str">
        <x:v>Order cost (£)</x:v>
      </x:c>
      <x:c r="R3" s="11" t="str">
        <x:v>Reorder flag</x:v>
      </x:c>
    </x:row>
    <x:row r="4">
      <x:c r="A4" t="str">
        <x:v>SKU-001</x:v>
      </x:c>
      <x:c r="B4" t="str">
        <x:v>Home Product 01</x:v>
      </x:c>
      <x:c r="C4" t="str">
        <x:v>A</x:v>
      </x:c>
      <x:c r="D4" s="26" t="n">
        <x:v>13.909</x:v>
      </x:c>
      <x:c r="E4" s="26" t="n">
        <x:v>4.443</x:v>
      </x:c>
      <x:c r="F4" t="n">
        <x:v>9</x:v>
      </x:c>
      <x:c r="G4" t="n">
        <x:v>175</x:v>
      </x:c>
      <x:c r="H4" t="n">
        <x:v>60</x:v>
      </x:c>
      <x:c r="I4" t="n">
        <x:v>0</x:v>
      </x:c>
      <x:c r="J4" s="28" t="n">
        <x:v>43.71</x:v>
      </x:c>
      <x:c r="K4" s="30" t="n">
        <x:f>G4+H4-I4</x:f>
        <x:v>235</x:v>
      </x:c>
      <x:c r="L4" s="30" t="n">
        <x:f>ROUNDUP('Assumptions'!$B$4*E4*SQRT(F4),0)</x:f>
        <x:v>22</x:v>
      </x:c>
      <x:c r="M4" s="30" t="n">
        <x:f>ROUNDUP(D4*F4+L4,0)</x:f>
        <x:v>148</x:v>
      </x:c>
      <x:c r="N4" s="30" t="n">
        <x:f>ROUNDUP(D4*(F4+'Assumptions'!$B$5)+L4,0)</x:f>
        <x:v>245</x:v>
      </x:c>
      <x:c r="O4" s="30" t="n">
        <x:f>IF(K4&lt;=M4,MAX(0,N4-K4),0)</x:f>
        <x:v>0</x:v>
      </x:c>
      <x:c r="P4" s="20" t="n">
        <x:v>0.0001</x:v>
      </x:c>
      <x:c r="Q4" s="32" t="n">
        <x:f>O4*J4</x:f>
        <x:v>0</x:v>
      </x:c>
      <x:c r="R4" s="30" t="str">
        <x:f>IF(K4&lt;=M4,"REORDER","OK")</x:f>
        <x:v>OK</x:v>
      </x:c>
    </x:row>
    <x:row r="5">
      <x:c r="A5" t="str">
        <x:v>SKU-002</x:v>
      </x:c>
      <x:c r="B5" t="str">
        <x:v>Personal Care Product 02</x:v>
      </x:c>
      <x:c r="C5" t="str">
        <x:v>A</x:v>
      </x:c>
      <x:c r="D5" s="26" t="n">
        <x:v>23.563</x:v>
      </x:c>
      <x:c r="E5" s="26" t="n">
        <x:v>8.102</x:v>
      </x:c>
      <x:c r="F5" t="n">
        <x:v>16</x:v>
      </x:c>
      <x:c r="G5" t="n">
        <x:v>194</x:v>
      </x:c>
      <x:c r="H5" t="n">
        <x:v>67</x:v>
      </x:c>
      <x:c r="I5" t="n">
        <x:v>0</x:v>
      </x:c>
      <x:c r="J5" s="28" t="n">
        <x:v>45.43</x:v>
      </x:c>
      <x:c r="K5" s="30" t="n">
        <x:f>G5+H5-I5</x:f>
        <x:v>261</x:v>
      </x:c>
      <x:c r="L5" s="30" t="n">
        <x:f>ROUNDUP('Assumptions'!$B$4*E5*SQRT(F5),0)</x:f>
        <x:v>54</x:v>
      </x:c>
      <x:c r="M5" s="30" t="n">
        <x:f>ROUNDUP(D5*F5+L5,0)</x:f>
        <x:v>432</x:v>
      </x:c>
      <x:c r="N5" s="30" t="n">
        <x:f>ROUNDUP(D5*(F5+'Assumptions'!$B$5)+L5,0)</x:f>
        <x:v>596</x:v>
      </x:c>
      <x:c r="O5" s="30" t="n">
        <x:f>IF(K5&lt;=M5,MAX(0,N5-K5),0)</x:f>
        <x:v>335</x:v>
      </x:c>
      <x:c r="P5" s="20" t="n">
        <x:v>1</x:v>
      </x:c>
      <x:c r="Q5" s="32" t="n">
        <x:f>O5*J5</x:f>
        <x:v>15219.05</x:v>
      </x:c>
      <x:c r="R5" s="30" t="str">
        <x:f>IF(K5&lt;=M5,"REORDER","OK")</x:f>
        <x:v>REORDER</x:v>
      </x:c>
    </x:row>
    <x:row r="6">
      <x:c r="A6" t="str">
        <x:v>SKU-003</x:v>
      </x:c>
      <x:c r="B6" t="str">
        <x:v>Stationery Product 03</x:v>
      </x:c>
      <x:c r="C6" t="str">
        <x:v>A</x:v>
      </x:c>
      <x:c r="D6" s="26" t="n">
        <x:v>29.365</x:v>
      </x:c>
      <x:c r="E6" s="26" t="n">
        <x:v>7.601</x:v>
      </x:c>
      <x:c r="F6" t="n">
        <x:v>13</x:v>
      </x:c>
      <x:c r="G6" t="n">
        <x:v>172</x:v>
      </x:c>
      <x:c r="H6" t="n">
        <x:v>0</x:v>
      </x:c>
      <x:c r="I6" t="n">
        <x:v>0</x:v>
      </x:c>
      <x:c r="J6" s="28" t="n">
        <x:v>49.83</x:v>
      </x:c>
      <x:c r="K6" s="30" t="n">
        <x:f>G6+H6-I6</x:f>
        <x:v>172</x:v>
      </x:c>
      <x:c r="L6" s="30" t="n">
        <x:f>ROUNDUP('Assumptions'!$B$4*E6*SQRT(F6),0)</x:f>
        <x:v>46</x:v>
      </x:c>
      <x:c r="M6" s="30" t="n">
        <x:f>ROUNDUP(D6*F6+L6,0)</x:f>
        <x:v>428</x:v>
      </x:c>
      <x:c r="N6" s="30" t="n">
        <x:f>ROUNDUP(D6*(F6+'Assumptions'!$B$5)+L6,0)</x:f>
        <x:v>634</x:v>
      </x:c>
      <x:c r="O6" s="30" t="n">
        <x:f>IF(K6&lt;=M6,MAX(0,N6-K6),0)</x:f>
        <x:v>462</x:v>
      </x:c>
      <x:c r="P6" s="20" t="n">
        <x:v>1</x:v>
      </x:c>
      <x:c r="Q6" s="32" t="n">
        <x:f>O6*J6</x:f>
        <x:v>23021.46</x:v>
      </x:c>
      <x:c r="R6" s="30" t="str">
        <x:f>IF(K6&lt;=M6,"REORDER","OK")</x:f>
        <x:v>REORDER</x:v>
      </x:c>
    </x:row>
    <x:row r="7">
      <x:c r="A7" t="str">
        <x:v>SKU-004</x:v>
      </x:c>
      <x:c r="B7" t="str">
        <x:v>Electronics Product 04</x:v>
      </x:c>
      <x:c r="C7" t="str">
        <x:v>A</x:v>
      </x:c>
      <x:c r="D7" s="26" t="n">
        <x:v>24.644</x:v>
      </x:c>
      <x:c r="E7" s="26" t="n">
        <x:v>6.81</x:v>
      </x:c>
      <x:c r="F7" t="n">
        <x:v>9</x:v>
      </x:c>
      <x:c r="G7" t="n">
        <x:v>182</x:v>
      </x:c>
      <x:c r="H7" t="n">
        <x:v>0</x:v>
      </x:c>
      <x:c r="I7" t="n">
        <x:v>0</x:v>
      </x:c>
      <x:c r="J7" s="28" t="n">
        <x:v>45.04</x:v>
      </x:c>
      <x:c r="K7" s="30" t="n">
        <x:f>G7+H7-I7</x:f>
        <x:v>182</x:v>
      </x:c>
      <x:c r="L7" s="30" t="n">
        <x:f>ROUNDUP('Assumptions'!$B$4*E7*SQRT(F7),0)</x:f>
        <x:v>34</x:v>
      </x:c>
      <x:c r="M7" s="30" t="n">
        <x:f>ROUNDUP(D7*F7+L7,0)</x:f>
        <x:v>256</x:v>
      </x:c>
      <x:c r="N7" s="30" t="n">
        <x:f>ROUNDUP(D7*(F7+'Assumptions'!$B$5)+L7,0)</x:f>
        <x:v>429</x:v>
      </x:c>
      <x:c r="O7" s="30" t="n">
        <x:f>IF(K7&lt;=M7,MAX(0,N7-K7),0)</x:f>
        <x:v>247</x:v>
      </x:c>
      <x:c r="P7" s="20" t="n">
        <x:v>0.9743</x:v>
      </x:c>
      <x:c r="Q7" s="32" t="n">
        <x:f>O7*J7</x:f>
        <x:v>11124.88</x:v>
      </x:c>
      <x:c r="R7" s="30" t="str">
        <x:f>IF(K7&lt;=M7,"REORDER","OK")</x:f>
        <x:v>REORDER</x:v>
      </x:c>
    </x:row>
    <x:row r="8">
      <x:c r="A8" t="str">
        <x:v>SKU-005</x:v>
      </x:c>
      <x:c r="B8" t="str">
        <x:v>Kitchen Product 05</x:v>
      </x:c>
      <x:c r="C8" t="str">
        <x:v>A</x:v>
      </x:c>
      <x:c r="D8" s="26" t="n">
        <x:v>24.641</x:v>
      </x:c>
      <x:c r="E8" s="26" t="n">
        <x:v>7.204</x:v>
      </x:c>
      <x:c r="F8" t="n">
        <x:v>11</x:v>
      </x:c>
      <x:c r="G8" t="n">
        <x:v>330</x:v>
      </x:c>
      <x:c r="H8" t="n">
        <x:v>0</x:v>
      </x:c>
      <x:c r="I8" t="n">
        <x:v>0</x:v>
      </x:c>
      <x:c r="J8" s="28" t="n">
        <x:v>66.39</x:v>
      </x:c>
      <x:c r="K8" s="30" t="n">
        <x:f>G8+H8-I8</x:f>
        <x:v>330</x:v>
      </x:c>
      <x:c r="L8" s="30" t="n">
        <x:f>ROUNDUP('Assumptions'!$B$4*E8*SQRT(F8),0)</x:f>
        <x:v>40</x:v>
      </x:c>
      <x:c r="M8" s="30" t="n">
        <x:f>ROUNDUP(D8*F8+L8,0)</x:f>
        <x:v>312</x:v>
      </x:c>
      <x:c r="N8" s="30" t="n">
        <x:f>ROUNDUP(D8*(F8+'Assumptions'!$B$5)+L8,0)</x:f>
        <x:v>484</x:v>
      </x:c>
      <x:c r="O8" s="30" t="n">
        <x:f>IF(K8&lt;=M8,MAX(0,N8-K8),0)</x:f>
        <x:v>0</x:v>
      </x:c>
      <x:c r="P8" s="20" t="n">
        <x:v>0.0068</x:v>
      </x:c>
      <x:c r="Q8" s="32" t="n">
        <x:f>O8*J8</x:f>
        <x:v>0</x:v>
      </x:c>
      <x:c r="R8" s="30" t="str">
        <x:f>IF(K8&lt;=M8,"REORDER","OK")</x:f>
        <x:v>OK</x:v>
      </x:c>
    </x:row>
    <x:row r="9">
      <x:c r="A9" t="str">
        <x:v>SKU-006</x:v>
      </x:c>
      <x:c r="B9" t="str">
        <x:v>Home Product 06</x:v>
      </x:c>
      <x:c r="C9" t="str">
        <x:v>C</x:v>
      </x:c>
      <x:c r="D9" s="26" t="n">
        <x:v>19.036</x:v>
      </x:c>
      <x:c r="E9" s="26" t="n">
        <x:v>6.753</x:v>
      </x:c>
      <x:c r="F9" t="n">
        <x:v>6</x:v>
      </x:c>
      <x:c r="G9" t="n">
        <x:v>31</x:v>
      </x:c>
      <x:c r="H9" t="n">
        <x:v>0</x:v>
      </x:c>
      <x:c r="I9" t="n">
        <x:v>0</x:v>
      </x:c>
      <x:c r="J9" s="28" t="n">
        <x:v>4.42</x:v>
      </x:c>
      <x:c r="K9" s="30" t="n">
        <x:f>G9+H9-I9</x:f>
        <x:v>31</x:v>
      </x:c>
      <x:c r="L9" s="30" t="n">
        <x:f>ROUNDUP('Assumptions'!$B$4*E9*SQRT(F9),0)</x:f>
        <x:v>28</x:v>
      </x:c>
      <x:c r="M9" s="30" t="n">
        <x:f>ROUNDUP(D9*F9+L9,0)</x:f>
        <x:v>143</x:v>
      </x:c>
      <x:c r="N9" s="30" t="n">
        <x:f>ROUNDUP(D9*(F9+'Assumptions'!$B$5)+L9,0)</x:f>
        <x:v>276</x:v>
      </x:c>
      <x:c r="O9" s="30" t="n">
        <x:f>IF(K9&lt;=M9,MAX(0,N9-K9),0)</x:f>
        <x:v>245</x:v>
      </x:c>
      <x:c r="P9" s="20" t="n">
        <x:v>1</x:v>
      </x:c>
      <x:c r="Q9" s="32" t="n">
        <x:f>O9*J9</x:f>
        <x:v>1082.9</x:v>
      </x:c>
      <x:c r="R9" s="30" t="str">
        <x:f>IF(K9&lt;=M9,"REORDER","OK")</x:f>
        <x:v>REORDER</x:v>
      </x:c>
    </x:row>
    <x:row r="10">
      <x:c r="A10" t="str">
        <x:v>SKU-007</x:v>
      </x:c>
      <x:c r="B10" t="str">
        <x:v>Personal Care Product 07</x:v>
      </x:c>
      <x:c r="C10" t="str">
        <x:v>B</x:v>
      </x:c>
      <x:c r="D10" s="26" t="n">
        <x:v>18.269</x:v>
      </x:c>
      <x:c r="E10" s="26" t="n">
        <x:v>5.526</x:v>
      </x:c>
      <x:c r="F10" t="n">
        <x:v>12</x:v>
      </x:c>
      <x:c r="G10" t="n">
        <x:v>247</x:v>
      </x:c>
      <x:c r="H10" t="n">
        <x:v>34</x:v>
      </x:c>
      <x:c r="I10" t="n">
        <x:v>0</x:v>
      </x:c>
      <x:c r="J10" s="28" t="n">
        <x:v>15.95</x:v>
      </x:c>
      <x:c r="K10" s="30" t="n">
        <x:f>G10+H10-I10</x:f>
        <x:v>281</x:v>
      </x:c>
      <x:c r="L10" s="30" t="n">
        <x:f>ROUNDUP('Assumptions'!$B$4*E10*SQRT(F10),0)</x:f>
        <x:v>32</x:v>
      </x:c>
      <x:c r="M10" s="30" t="n">
        <x:f>ROUNDUP(D10*F10+L10,0)</x:f>
        <x:v>252</x:v>
      </x:c>
      <x:c r="N10" s="30" t="n">
        <x:f>ROUNDUP(D10*(F10+'Assumptions'!$B$5)+L10,0)</x:f>
        <x:v>380</x:v>
      </x:c>
      <x:c r="O10" s="30" t="n">
        <x:f>IF(K10&lt;=M10,MAX(0,N10-K10),0)</x:f>
        <x:v>0</x:v>
      </x:c>
      <x:c r="P10" s="20" t="n">
        <x:v>0.0734</x:v>
      </x:c>
      <x:c r="Q10" s="32" t="n">
        <x:f>O10*J10</x:f>
        <x:v>0</x:v>
      </x:c>
      <x:c r="R10" s="30" t="str">
        <x:f>IF(K10&lt;=M10,"REORDER","OK")</x:f>
        <x:v>OK</x:v>
      </x:c>
    </x:row>
    <x:row r="11">
      <x:c r="A11" t="str">
        <x:v>SKU-008</x:v>
      </x:c>
      <x:c r="B11" t="str">
        <x:v>Stationery Product 08</x:v>
      </x:c>
      <x:c r="C11" t="str">
        <x:v>C</x:v>
      </x:c>
      <x:c r="D11" s="26" t="n">
        <x:v>12.312</x:v>
      </x:c>
      <x:c r="E11" s="26" t="n">
        <x:v>4.862</x:v>
      </x:c>
      <x:c r="F11" t="n">
        <x:v>11</x:v>
      </x:c>
      <x:c r="G11" t="n">
        <x:v>202</x:v>
      </x:c>
      <x:c r="H11" t="n">
        <x:v>0</x:v>
      </x:c>
      <x:c r="I11" t="n">
        <x:v>0</x:v>
      </x:c>
      <x:c r="J11" s="28" t="n">
        <x:v>11.56</x:v>
      </x:c>
      <x:c r="K11" s="30" t="n">
        <x:f>G11+H11-I11</x:f>
        <x:v>202</x:v>
      </x:c>
      <x:c r="L11" s="30" t="n">
        <x:f>ROUNDUP('Assumptions'!$B$4*E11*SQRT(F11),0)</x:f>
        <x:v>27</x:v>
      </x:c>
      <x:c r="M11" s="30" t="n">
        <x:f>ROUNDUP(D11*F11+L11,0)</x:f>
        <x:v>163</x:v>
      </x:c>
      <x:c r="N11" s="30" t="n">
        <x:f>ROUNDUP(D11*(F11+'Assumptions'!$B$5)+L11,0)</x:f>
        <x:v>249</x:v>
      </x:c>
      <x:c r="O11" s="30" t="n">
        <x:f>IF(K11&lt;=M11,MAX(0,N11-K11),0)</x:f>
        <x:v>0</x:v>
      </x:c>
      <x:c r="P11" s="20" t="n">
        <x:v>0</x:v>
      </x:c>
      <x:c r="Q11" s="32" t="n">
        <x:f>O11*J11</x:f>
        <x:v>0</x:v>
      </x:c>
      <x:c r="R11" s="30" t="str">
        <x:f>IF(K11&lt;=M11,"REORDER","OK")</x:f>
        <x:v>OK</x:v>
      </x:c>
    </x:row>
    <x:row r="12">
      <x:c r="A12" t="str">
        <x:v>SKU-009</x:v>
      </x:c>
      <x:c r="B12" t="str">
        <x:v>Electronics Product 09</x:v>
      </x:c>
      <x:c r="C12" t="str">
        <x:v>B</x:v>
      </x:c>
      <x:c r="D12" s="26" t="n">
        <x:v>29.369</x:v>
      </x:c>
      <x:c r="E12" s="26" t="n">
        <x:v>7.799</x:v>
      </x:c>
      <x:c r="F12" t="n">
        <x:v>3</x:v>
      </x:c>
      <x:c r="G12" t="n">
        <x:v>219</x:v>
      </x:c>
      <x:c r="H12" t="n">
        <x:v>217</x:v>
      </x:c>
      <x:c r="I12" t="n">
        <x:v>0</x:v>
      </x:c>
      <x:c r="J12" s="28" t="n">
        <x:v>15.21</x:v>
      </x:c>
      <x:c r="K12" s="30" t="n">
        <x:f>G12+H12-I12</x:f>
        <x:v>436</x:v>
      </x:c>
      <x:c r="L12" s="30" t="n">
        <x:f>ROUNDUP('Assumptions'!$B$4*E12*SQRT(F12),0)</x:f>
        <x:v>23</x:v>
      </x:c>
      <x:c r="M12" s="30" t="n">
        <x:f>ROUNDUP(D12*F12+L12,0)</x:f>
        <x:v>112</x:v>
      </x:c>
      <x:c r="N12" s="30" t="n">
        <x:f>ROUNDUP(D12*(F12+'Assumptions'!$B$5)+L12,0)</x:f>
        <x:v>317</x:v>
      </x:c>
      <x:c r="O12" s="30" t="n">
        <x:f>IF(K12&lt;=M12,MAX(0,N12-K12),0)</x:f>
        <x:v>0</x:v>
      </x:c>
      <x:c r="P12" s="20" t="n">
        <x:v>0</x:v>
      </x:c>
      <x:c r="Q12" s="32" t="n">
        <x:f>O12*J12</x:f>
        <x:v>0</x:v>
      </x:c>
      <x:c r="R12" s="30" t="str">
        <x:f>IF(K12&lt;=M12,"REORDER","OK")</x:f>
        <x:v>OK</x:v>
      </x:c>
    </x:row>
    <x:row r="13">
      <x:c r="A13" t="str">
        <x:v>SKU-010</x:v>
      </x:c>
      <x:c r="B13" t="str">
        <x:v>Kitchen Product 10</x:v>
      </x:c>
      <x:c r="C13" t="str">
        <x:v>A</x:v>
      </x:c>
      <x:c r="D13" s="26" t="n">
        <x:v>11.774</x:v>
      </x:c>
      <x:c r="E13" s="26" t="n">
        <x:v>4.644</x:v>
      </x:c>
      <x:c r="F13" t="n">
        <x:v>16</x:v>
      </x:c>
      <x:c r="G13" t="n">
        <x:v>185</x:v>
      </x:c>
      <x:c r="H13" t="n">
        <x:v>0</x:v>
      </x:c>
      <x:c r="I13" t="n">
        <x:v>0</x:v>
      </x:c>
      <x:c r="J13" s="28" t="n">
        <x:v>43.55</x:v>
      </x:c>
      <x:c r="K13" s="30" t="n">
        <x:f>G13+H13-I13</x:f>
        <x:v>185</x:v>
      </x:c>
      <x:c r="L13" s="30" t="n">
        <x:f>ROUNDUP('Assumptions'!$B$4*E13*SQRT(F13),0)</x:f>
        <x:v>31</x:v>
      </x:c>
      <x:c r="M13" s="30" t="n">
        <x:f>ROUNDUP(D13*F13+L13,0)</x:f>
        <x:v>220</x:v>
      </x:c>
      <x:c r="N13" s="30" t="n">
        <x:f>ROUNDUP(D13*(F13+'Assumptions'!$B$5)+L13,0)</x:f>
        <x:v>302</x:v>
      </x:c>
      <x:c r="O13" s="30" t="n">
        <x:f>IF(K13&lt;=M13,MAX(0,N13-K13),0)</x:f>
        <x:v>117</x:v>
      </x:c>
      <x:c r="P13" s="20" t="n">
        <x:v>0.5723</x:v>
      </x:c>
      <x:c r="Q13" s="32" t="n">
        <x:f>O13*J13</x:f>
        <x:v>5095.349999999999</x:v>
      </x:c>
      <x:c r="R13" s="30" t="str">
        <x:f>IF(K13&lt;=M13,"REORDER","OK")</x:f>
        <x:v>REORDER</x:v>
      </x:c>
    </x:row>
    <x:row r="14">
      <x:c r="A14" t="str">
        <x:v>SKU-011</x:v>
      </x:c>
      <x:c r="B14" t="str">
        <x:v>Home Product 11</x:v>
      </x:c>
      <x:c r="C14" t="str">
        <x:v>B</x:v>
      </x:c>
      <x:c r="D14" s="26" t="n">
        <x:v>9.591</x:v>
      </x:c>
      <x:c r="E14" s="26" t="n">
        <x:v>3.514</x:v>
      </x:c>
      <x:c r="F14" t="n">
        <x:v>11</x:v>
      </x:c>
      <x:c r="G14" t="n">
        <x:v>39</x:v>
      </x:c>
      <x:c r="H14" t="n">
        <x:v>0</x:v>
      </x:c>
      <x:c r="I14" t="n">
        <x:v>0</x:v>
      </x:c>
      <x:c r="J14" s="28" t="n">
        <x:v>31.55</x:v>
      </x:c>
      <x:c r="K14" s="30" t="n">
        <x:f>G14+H14-I14</x:f>
        <x:v>39</x:v>
      </x:c>
      <x:c r="L14" s="30" t="n">
        <x:f>ROUNDUP('Assumptions'!$B$4*E14*SQRT(F14),0)</x:f>
        <x:v>20</x:v>
      </x:c>
      <x:c r="M14" s="30" t="n">
        <x:f>ROUNDUP(D14*F14+L14,0)</x:f>
        <x:v>126</x:v>
      </x:c>
      <x:c r="N14" s="30" t="n">
        <x:f>ROUNDUP(D14*(F14+'Assumptions'!$B$5)+L14,0)</x:f>
        <x:v>193</x:v>
      </x:c>
      <x:c r="O14" s="30" t="n">
        <x:f>IF(K14&lt;=M14,MAX(0,N14-K14),0)</x:f>
        <x:v>154</x:v>
      </x:c>
      <x:c r="P14" s="20" t="n">
        <x:v>1</x:v>
      </x:c>
      <x:c r="Q14" s="32" t="n">
        <x:f>O14*J14</x:f>
        <x:v>4858.7</x:v>
      </x:c>
      <x:c r="R14" s="30" t="str">
        <x:f>IF(K14&lt;=M14,"REORDER","OK")</x:f>
        <x:v>REORDER</x:v>
      </x:c>
    </x:row>
    <x:row r="15">
      <x:c r="A15" t="str">
        <x:v>SKU-012</x:v>
      </x:c>
      <x:c r="B15" t="str">
        <x:v>Personal Care Product 12</x:v>
      </x:c>
      <x:c r="C15" t="str">
        <x:v>C</x:v>
      </x:c>
      <x:c r="D15" s="26" t="n">
        <x:v>4.883</x:v>
      </x:c>
      <x:c r="E15" s="26" t="n">
        <x:v>2.084</x:v>
      </x:c>
      <x:c r="F15" t="n">
        <x:v>4</x:v>
      </x:c>
      <x:c r="G15" t="n">
        <x:v>63</x:v>
      </x:c>
      <x:c r="H15" t="n">
        <x:v>0</x:v>
      </x:c>
      <x:c r="I15" t="n">
        <x:v>0</x:v>
      </x:c>
      <x:c r="J15" s="28" t="n">
        <x:v>33.15</x:v>
      </x:c>
      <x:c r="K15" s="30" t="n">
        <x:f>G15+H15-I15</x:f>
        <x:v>63</x:v>
      </x:c>
      <x:c r="L15" s="30" t="n">
        <x:f>ROUNDUP('Assumptions'!$B$4*E15*SQRT(F15),0)</x:f>
        <x:v>7</x:v>
      </x:c>
      <x:c r="M15" s="30" t="n">
        <x:f>ROUNDUP(D15*F15+L15,0)</x:f>
        <x:v>27</x:v>
      </x:c>
      <x:c r="N15" s="30" t="n">
        <x:f>ROUNDUP(D15*(F15+'Assumptions'!$B$5)+L15,0)</x:f>
        <x:v>61</x:v>
      </x:c>
      <x:c r="O15" s="30" t="n">
        <x:f>IF(K15&lt;=M15,MAX(0,N15-K15),0)</x:f>
        <x:v>0</x:v>
      </x:c>
      <x:c r="P15" s="20" t="n">
        <x:v>0</x:v>
      </x:c>
      <x:c r="Q15" s="32" t="n">
        <x:f>O15*J15</x:f>
        <x:v>0</x:v>
      </x:c>
      <x:c r="R15" s="30" t="str">
        <x:f>IF(K15&lt;=M15,"REORDER","OK")</x:f>
        <x:v>OK</x:v>
      </x:c>
    </x:row>
    <x:row r="16">
      <x:c r="A16" t="str">
        <x:v>SKU-013</x:v>
      </x:c>
      <x:c r="B16" t="str">
        <x:v>Stationery Product 13</x:v>
      </x:c>
      <x:c r="C16" t="str">
        <x:v>A</x:v>
      </x:c>
      <x:c r="D16" s="26" t="n">
        <x:v>22.629</x:v>
      </x:c>
      <x:c r="E16" s="26" t="n">
        <x:v>6.202</x:v>
      </x:c>
      <x:c r="F16" t="n">
        <x:v>5</x:v>
      </x:c>
      <x:c r="G16" t="n">
        <x:v>136</x:v>
      </x:c>
      <x:c r="H16" t="n">
        <x:v>0</x:v>
      </x:c>
      <x:c r="I16" t="n">
        <x:v>0</x:v>
      </x:c>
      <x:c r="J16" s="28" t="n">
        <x:v>34.28</x:v>
      </x:c>
      <x:c r="K16" s="30" t="n">
        <x:f>G16+H16-I16</x:f>
        <x:v>136</x:v>
      </x:c>
      <x:c r="L16" s="30" t="n">
        <x:f>ROUNDUP('Assumptions'!$B$4*E16*SQRT(F16),0)</x:f>
        <x:v>23</x:v>
      </x:c>
      <x:c r="M16" s="30" t="n">
        <x:f>ROUNDUP(D16*F16+L16,0)</x:f>
        <x:v>137</x:v>
      </x:c>
      <x:c r="N16" s="30" t="n">
        <x:f>ROUNDUP(D16*(F16+'Assumptions'!$B$5)+L16,0)</x:f>
        <x:v>295</x:v>
      </x:c>
      <x:c r="O16" s="30" t="n">
        <x:f>IF(K16&lt;=M16,MAX(0,N16-K16),0)</x:f>
        <x:v>159</x:v>
      </x:c>
      <x:c r="P16" s="20" t="n">
        <x:v>0.0497</x:v>
      </x:c>
      <x:c r="Q16" s="32" t="n">
        <x:f>O16*J16</x:f>
        <x:v>5450.52</x:v>
      </x:c>
      <x:c r="R16" s="30" t="str">
        <x:f>IF(K16&lt;=M16,"REORDER","OK")</x:f>
        <x:v>REORDER</x:v>
      </x:c>
    </x:row>
    <x:row r="17">
      <x:c r="A17" t="str">
        <x:v>SKU-014</x:v>
      </x:c>
      <x:c r="B17" t="str">
        <x:v>Electronics Product 14</x:v>
      </x:c>
      <x:c r="C17" t="str">
        <x:v>B</x:v>
      </x:c>
      <x:c r="D17" s="26" t="n">
        <x:v>16.602</x:v>
      </x:c>
      <x:c r="E17" s="26" t="n">
        <x:v>3.999</x:v>
      </x:c>
      <x:c r="F17" t="n">
        <x:v>3</x:v>
      </x:c>
      <x:c r="G17" t="n">
        <x:v>250</x:v>
      </x:c>
      <x:c r="H17" t="n">
        <x:v>121</x:v>
      </x:c>
      <x:c r="I17" t="n">
        <x:v>0</x:v>
      </x:c>
      <x:c r="J17" s="28" t="n">
        <x:v>22.16</x:v>
      </x:c>
      <x:c r="K17" s="30" t="n">
        <x:f>G17+H17-I17</x:f>
        <x:v>371</x:v>
      </x:c>
      <x:c r="L17" s="30" t="n">
        <x:f>ROUNDUP('Assumptions'!$B$4*E17*SQRT(F17),0)</x:f>
        <x:v>12</x:v>
      </x:c>
      <x:c r="M17" s="30" t="n">
        <x:f>ROUNDUP(D17*F17+L17,0)</x:f>
        <x:v>62</x:v>
      </x:c>
      <x:c r="N17" s="30" t="n">
        <x:f>ROUNDUP(D17*(F17+'Assumptions'!$B$5)+L17,0)</x:f>
        <x:v>179</x:v>
      </x:c>
      <x:c r="O17" s="30" t="n">
        <x:f>IF(K17&lt;=M17,MAX(0,N17-K17),0)</x:f>
        <x:v>0</x:v>
      </x:c>
      <x:c r="P17" s="20" t="n">
        <x:v>0</x:v>
      </x:c>
      <x:c r="Q17" s="32" t="n">
        <x:f>O17*J17</x:f>
        <x:v>0</x:v>
      </x:c>
      <x:c r="R17" s="30" t="str">
        <x:f>IF(K17&lt;=M17,"REORDER","OK")</x:f>
        <x:v>OK</x:v>
      </x:c>
    </x:row>
    <x:row r="18">
      <x:c r="A18" t="str">
        <x:v>SKU-015</x:v>
      </x:c>
      <x:c r="B18" t="str">
        <x:v>Kitchen Product 15</x:v>
      </x:c>
      <x:c r="C18" t="str">
        <x:v>A</x:v>
      </x:c>
      <x:c r="D18" s="26" t="n">
        <x:v>15.408</x:v>
      </x:c>
      <x:c r="E18" s="26" t="n">
        <x:v>4.468</x:v>
      </x:c>
      <x:c r="F18" t="n">
        <x:v>7</x:v>
      </x:c>
      <x:c r="G18" t="n">
        <x:v>176</x:v>
      </x:c>
      <x:c r="H18" t="n">
        <x:v>72</x:v>
      </x:c>
      <x:c r="I18" t="n">
        <x:v>0</x:v>
      </x:c>
      <x:c r="J18" s="28" t="n">
        <x:v>29.36</x:v>
      </x:c>
      <x:c r="K18" s="30" t="n">
        <x:f>G18+H18-I18</x:f>
        <x:v>248</x:v>
      </x:c>
      <x:c r="L18" s="30" t="n">
        <x:f>ROUNDUP('Assumptions'!$B$4*E18*SQRT(F18),0)</x:f>
        <x:v>20</x:v>
      </x:c>
      <x:c r="M18" s="30" t="n">
        <x:f>ROUNDUP(D18*F18+L18,0)</x:f>
        <x:v>128</x:v>
      </x:c>
      <x:c r="N18" s="30" t="n">
        <x:f>ROUNDUP(D18*(F18+'Assumptions'!$B$5)+L18,0)</x:f>
        <x:v>236</x:v>
      </x:c>
      <x:c r="O18" s="30" t="n">
        <x:f>IF(K18&lt;=M18,MAX(0,N18-K18),0)</x:f>
        <x:v>0</x:v>
      </x:c>
      <x:c r="P18" s="20" t="n">
        <x:v>0</x:v>
      </x:c>
      <x:c r="Q18" s="32" t="n">
        <x:f>O18*J18</x:f>
        <x:v>0</x:v>
      </x:c>
      <x:c r="R18" s="30" t="str">
        <x:f>IF(K18&lt;=M18,"REORDER","OK")</x:f>
        <x:v>OK</x:v>
      </x:c>
    </x:row>
    <x:row r="19">
      <x:c r="A19" t="str">
        <x:v>SKU-016</x:v>
      </x:c>
      <x:c r="B19" t="str">
        <x:v>Home Product 16</x:v>
      </x:c>
      <x:c r="C19" t="str">
        <x:v>C</x:v>
      </x:c>
      <x:c r="D19" s="26" t="n">
        <x:v>7.083</x:v>
      </x:c>
      <x:c r="E19" s="26" t="n">
        <x:v>3.249</x:v>
      </x:c>
      <x:c r="F19" t="n">
        <x:v>13</x:v>
      </x:c>
      <x:c r="G19" t="n">
        <x:v>20</x:v>
      </x:c>
      <x:c r="H19" t="n">
        <x:v>0</x:v>
      </x:c>
      <x:c r="I19" t="n">
        <x:v>0</x:v>
      </x:c>
      <x:c r="J19" s="28" t="n">
        <x:v>34.14</x:v>
      </x:c>
      <x:c r="K19" s="30" t="n">
        <x:f>G19+H19-I19</x:f>
        <x:v>20</x:v>
      </x:c>
      <x:c r="L19" s="30" t="n">
        <x:f>ROUNDUP('Assumptions'!$B$4*E19*SQRT(F19),0)</x:f>
        <x:v>20</x:v>
      </x:c>
      <x:c r="M19" s="30" t="n">
        <x:f>ROUNDUP(D19*F19+L19,0)</x:f>
        <x:v>113</x:v>
      </x:c>
      <x:c r="N19" s="30" t="n">
        <x:f>ROUNDUP(D19*(F19+'Assumptions'!$B$5)+L19,0)</x:f>
        <x:v>162</x:v>
      </x:c>
      <x:c r="O19" s="30" t="n">
        <x:f>IF(K19&lt;=M19,MAX(0,N19-K19),0)</x:f>
        <x:v>142</x:v>
      </x:c>
      <x:c r="P19" s="20" t="n">
        <x:v>1</x:v>
      </x:c>
      <x:c r="Q19" s="32" t="n">
        <x:f>O19*J19</x:f>
        <x:v>4847.88</x:v>
      </x:c>
      <x:c r="R19" s="30" t="str">
        <x:f>IF(K19&lt;=M19,"REORDER","OK")</x:f>
        <x:v>REORDER</x:v>
      </x:c>
    </x:row>
    <x:row r="20">
      <x:c r="A20" t="str">
        <x:v>SKU-017</x:v>
      </x:c>
      <x:c r="B20" t="str">
        <x:v>Personal Care Product 17</x:v>
      </x:c>
      <x:c r="C20" t="str">
        <x:v>A</x:v>
      </x:c>
      <x:c r="D20" s="26" t="n">
        <x:v>28.608</x:v>
      </x:c>
      <x:c r="E20" s="26" t="n">
        <x:v>6.951</x:v>
      </x:c>
      <x:c r="F20" t="n">
        <x:v>12</x:v>
      </x:c>
      <x:c r="G20" t="n">
        <x:v>321</x:v>
      </x:c>
      <x:c r="H20" t="n">
        <x:v>0</x:v>
      </x:c>
      <x:c r="I20" t="n">
        <x:v>0</x:v>
      </x:c>
      <x:c r="J20" s="28" t="n">
        <x:v>49.91</x:v>
      </x:c>
      <x:c r="K20" s="30" t="n">
        <x:f>G20+H20-I20</x:f>
        <x:v>321</x:v>
      </x:c>
      <x:c r="L20" s="30" t="n">
        <x:f>ROUNDUP('Assumptions'!$B$4*E20*SQRT(F20),0)</x:f>
        <x:v>40</x:v>
      </x:c>
      <x:c r="M20" s="30" t="n">
        <x:f>ROUNDUP(D20*F20+L20,0)</x:f>
        <x:v>384</x:v>
      </x:c>
      <x:c r="N20" s="30" t="n">
        <x:f>ROUNDUP(D20*(F20+'Assumptions'!$B$5)+L20,0)</x:f>
        <x:v>584</x:v>
      </x:c>
      <x:c r="O20" s="30" t="n">
        <x:f>IF(K20&lt;=M20,MAX(0,N20-K20),0)</x:f>
        <x:v>263</x:v>
      </x:c>
      <x:c r="P20" s="20" t="n">
        <x:v>0.8228</x:v>
      </x:c>
      <x:c r="Q20" s="32" t="n">
        <x:f>O20*J20</x:f>
        <x:v>13126.33</x:v>
      </x:c>
      <x:c r="R20" s="30" t="str">
        <x:f>IF(K20&lt;=M20,"REORDER","OK")</x:f>
        <x:v>REORDER</x:v>
      </x:c>
    </x:row>
    <x:row r="21">
      <x:c r="A21" t="str">
        <x:v>SKU-018</x:v>
      </x:c>
      <x:c r="B21" t="str">
        <x:v>Stationery Product 18</x:v>
      </x:c>
      <x:c r="C21" t="str">
        <x:v>A</x:v>
      </x:c>
      <x:c r="D21" s="26" t="n">
        <x:v>30.852</x:v>
      </x:c>
      <x:c r="E21" s="26" t="n">
        <x:v>8.868</x:v>
      </x:c>
      <x:c r="F21" t="n">
        <x:v>7</x:v>
      </x:c>
      <x:c r="G21" t="n">
        <x:v>107</x:v>
      </x:c>
      <x:c r="H21" t="n">
        <x:v>0</x:v>
      </x:c>
      <x:c r="I21" t="n">
        <x:v>0</x:v>
      </x:c>
      <x:c r="J21" s="28" t="n">
        <x:v>28.29</x:v>
      </x:c>
      <x:c r="K21" s="30" t="n">
        <x:f>G21+H21-I21</x:f>
        <x:v>107</x:v>
      </x:c>
      <x:c r="L21" s="30" t="n">
        <x:f>ROUNDUP('Assumptions'!$B$4*E21*SQRT(F21),0)</x:f>
        <x:v>39</x:v>
      </x:c>
      <x:c r="M21" s="30" t="n">
        <x:f>ROUNDUP(D21*F21+L21,0)</x:f>
        <x:v>255</x:v>
      </x:c>
      <x:c r="N21" s="30" t="n">
        <x:f>ROUNDUP(D21*(F21+'Assumptions'!$B$5)+L21,0)</x:f>
        <x:v>471</x:v>
      </x:c>
      <x:c r="O21" s="30" t="n">
        <x:f>IF(K21&lt;=M21,MAX(0,N21-K21),0)</x:f>
        <x:v>364</x:v>
      </x:c>
      <x:c r="P21" s="20" t="n">
        <x:v>1</x:v>
      </x:c>
      <x:c r="Q21" s="32" t="n">
        <x:f>O21*J21</x:f>
        <x:v>10297.56</x:v>
      </x:c>
      <x:c r="R21" s="30" t="str">
        <x:f>IF(K21&lt;=M21,"REORDER","OK")</x:f>
        <x:v>REORDER</x:v>
      </x:c>
    </x:row>
    <x:row r="22">
      <x:c r="A22" t="str">
        <x:v>SKU-019</x:v>
      </x:c>
      <x:c r="B22" t="str">
        <x:v>Electronics Product 19</x:v>
      </x:c>
      <x:c r="C22" t="str">
        <x:v>A</x:v>
      </x:c>
      <x:c r="D22" s="26" t="n">
        <x:v>20.462</x:v>
      </x:c>
      <x:c r="E22" s="26" t="n">
        <x:v>7.407</x:v>
      </x:c>
      <x:c r="F22" t="n">
        <x:v>13</x:v>
      </x:c>
      <x:c r="G22" t="n">
        <x:v>258</x:v>
      </x:c>
      <x:c r="H22" t="n">
        <x:v>48</x:v>
      </x:c>
      <x:c r="I22" t="n">
        <x:v>0</x:v>
      </x:c>
      <x:c r="J22" s="28" t="n">
        <x:v>27.32</x:v>
      </x:c>
      <x:c r="K22" s="30" t="n">
        <x:f>G22+H22-I22</x:f>
        <x:v>306</x:v>
      </x:c>
      <x:c r="L22" s="30" t="n">
        <x:f>ROUNDUP('Assumptions'!$B$4*E22*SQRT(F22),0)</x:f>
        <x:v>44</x:v>
      </x:c>
      <x:c r="M22" s="30" t="n">
        <x:f>ROUNDUP(D22*F22+L22,0)</x:f>
        <x:v>311</x:v>
      </x:c>
      <x:c r="N22" s="30" t="n">
        <x:f>ROUNDUP(D22*(F22+'Assumptions'!$B$5)+L22,0)</x:f>
        <x:v>454</x:v>
      </x:c>
      <x:c r="O22" s="30" t="n">
        <x:f>IF(K22&lt;=M22,MAX(0,N22-K22),0)</x:f>
        <x:v>148</x:v>
      </x:c>
      <x:c r="P22" s="20" t="n">
        <x:v>0.6179</x:v>
      </x:c>
      <x:c r="Q22" s="32" t="n">
        <x:f>O22*J22</x:f>
        <x:v>4043.36</x:v>
      </x:c>
      <x:c r="R22" s="30" t="str">
        <x:f>IF(K22&lt;=M22,"REORDER","OK")</x:f>
        <x:v>REORDER</x:v>
      </x:c>
    </x:row>
    <x:row r="23">
      <x:c r="A23" t="str">
        <x:v>SKU-020</x:v>
      </x:c>
      <x:c r="B23" t="str">
        <x:v>Kitchen Product 20</x:v>
      </x:c>
      <x:c r="C23" t="str">
        <x:v>A</x:v>
      </x:c>
      <x:c r="D23" s="26" t="n">
        <x:v>29.419</x:v>
      </x:c>
      <x:c r="E23" s="26" t="n">
        <x:v>6.968</x:v>
      </x:c>
      <x:c r="F23" t="n">
        <x:v>16</x:v>
      </x:c>
      <x:c r="G23" t="n">
        <x:v>36</x:v>
      </x:c>
      <x:c r="H23" t="n">
        <x:v>97</x:v>
      </x:c>
      <x:c r="I23" t="n">
        <x:v>0</x:v>
      </x:c>
      <x:c r="J23" s="28" t="n">
        <x:v>23.33</x:v>
      </x:c>
      <x:c r="K23" s="30" t="n">
        <x:f>G23+H23-I23</x:f>
        <x:v>133</x:v>
      </x:c>
      <x:c r="L23" s="30" t="n">
        <x:f>ROUNDUP('Assumptions'!$B$4*E23*SQRT(F23),0)</x:f>
        <x:v>46</x:v>
      </x:c>
      <x:c r="M23" s="30" t="n">
        <x:f>ROUNDUP(D23*F23+L23,0)</x:f>
        <x:v>517</x:v>
      </x:c>
      <x:c r="N23" s="30" t="n">
        <x:f>ROUNDUP(D23*(F23+'Assumptions'!$B$5)+L23,0)</x:f>
        <x:v>723</x:v>
      </x:c>
      <x:c r="O23" s="30" t="n">
        <x:f>IF(K23&lt;=M23,MAX(0,N23-K23),0)</x:f>
        <x:v>590</x:v>
      </x:c>
      <x:c r="P23" s="20" t="n">
        <x:v>1</x:v>
      </x:c>
      <x:c r="Q23" s="32" t="n">
        <x:f>O23*J23</x:f>
        <x:v>13764.699999999999</x:v>
      </x:c>
      <x:c r="R23" s="30" t="str">
        <x:f>IF(K23&lt;=M23,"REORDER","OK")</x:f>
        <x:v>REORDER</x:v>
      </x:c>
    </x:row>
    <x:row r="24">
      <x:c r="A24" t="str">
        <x:v>SKU-021</x:v>
      </x:c>
      <x:c r="B24" t="str">
        <x:v>Home Product 21</x:v>
      </x:c>
      <x:c r="C24" t="str">
        <x:v>A</x:v>
      </x:c>
      <x:c r="D24" s="26" t="n">
        <x:v>17.795</x:v>
      </x:c>
      <x:c r="E24" s="26" t="n">
        <x:v>5.875</x:v>
      </x:c>
      <x:c r="F24" t="n">
        <x:v>7</x:v>
      </x:c>
      <x:c r="G24" t="n">
        <x:v>170</x:v>
      </x:c>
      <x:c r="H24" t="n">
        <x:v>0</x:v>
      </x:c>
      <x:c r="I24" t="n">
        <x:v>0</x:v>
      </x:c>
      <x:c r="J24" s="28" t="n">
        <x:v>34.31</x:v>
      </x:c>
      <x:c r="K24" s="30" t="n">
        <x:f>G24+H24-I24</x:f>
        <x:v>170</x:v>
      </x:c>
      <x:c r="L24" s="30" t="n">
        <x:f>ROUNDUP('Assumptions'!$B$4*E24*SQRT(F24),0)</x:f>
        <x:v>26</x:v>
      </x:c>
      <x:c r="M24" s="30" t="n">
        <x:f>ROUNDUP(D24*F24+L24,0)</x:f>
        <x:v>151</x:v>
      </x:c>
      <x:c r="N24" s="30" t="n">
        <x:f>ROUNDUP(D24*(F24+'Assumptions'!$B$5)+L24,0)</x:f>
        <x:v>276</x:v>
      </x:c>
      <x:c r="O24" s="30" t="n">
        <x:f>IF(K24&lt;=M24,MAX(0,N24-K24),0)</x:f>
        <x:v>0</x:v>
      </x:c>
      <x:c r="P24" s="20" t="n">
        <x:v>0.0017</x:v>
      </x:c>
      <x:c r="Q24" s="32" t="n">
        <x:f>O24*J24</x:f>
        <x:v>0</x:v>
      </x:c>
      <x:c r="R24" s="30" t="str">
        <x:f>IF(K24&lt;=M24,"REORDER","OK")</x:f>
        <x:v>OK</x:v>
      </x:c>
    </x:row>
    <x:row r="25">
      <x:c r="A25" t="str">
        <x:v>SKU-022</x:v>
      </x:c>
      <x:c r="B25" t="str">
        <x:v>Personal Care Product 22</x:v>
      </x:c>
      <x:c r="C25" t="str">
        <x:v>A</x:v>
      </x:c>
      <x:c r="D25" s="26" t="n">
        <x:v>10.493</x:v>
      </x:c>
      <x:c r="E25" s="26" t="n">
        <x:v>4.256</x:v>
      </x:c>
      <x:c r="F25" t="n">
        <x:v>18</x:v>
      </x:c>
      <x:c r="G25" t="n">
        <x:v>73</x:v>
      </x:c>
      <x:c r="H25" t="n">
        <x:v>0</x:v>
      </x:c>
      <x:c r="I25" t="n">
        <x:v>0</x:v>
      </x:c>
      <x:c r="J25" s="28" t="n">
        <x:v>45.03</x:v>
      </x:c>
      <x:c r="K25" s="30" t="n">
        <x:f>G25+H25-I25</x:f>
        <x:v>73</x:v>
      </x:c>
      <x:c r="L25" s="30" t="n">
        <x:f>ROUNDUP('Assumptions'!$B$4*E25*SQRT(F25),0)</x:f>
        <x:v>30</x:v>
      </x:c>
      <x:c r="M25" s="30" t="n">
        <x:f>ROUNDUP(D25*F25+L25,0)</x:f>
        <x:v>219</x:v>
      </x:c>
      <x:c r="N25" s="30" t="n">
        <x:f>ROUNDUP(D25*(F25+'Assumptions'!$B$5)+L25,0)</x:f>
        <x:v>293</x:v>
      </x:c>
      <x:c r="O25" s="30" t="n">
        <x:f>IF(K25&lt;=M25,MAX(0,N25-K25),0)</x:f>
        <x:v>220</x:v>
      </x:c>
      <x:c r="P25" s="20" t="n">
        <x:v>1</x:v>
      </x:c>
      <x:c r="Q25" s="32" t="n">
        <x:f>O25*J25</x:f>
        <x:v>9906.6</x:v>
      </x:c>
      <x:c r="R25" s="30" t="str">
        <x:f>IF(K25&lt;=M25,"REORDER","OK")</x:f>
        <x:v>REORDER</x:v>
      </x:c>
    </x:row>
    <x:row r="26">
      <x:c r="A26" t="str">
        <x:v>SKU-023</x:v>
      </x:c>
      <x:c r="B26" t="str">
        <x:v>Stationery Product 23</x:v>
      </x:c>
      <x:c r="C26" t="str">
        <x:v>B</x:v>
      </x:c>
      <x:c r="D26" s="26" t="n">
        <x:v>9.785</x:v>
      </x:c>
      <x:c r="E26" s="26" t="n">
        <x:v>3.738</x:v>
      </x:c>
      <x:c r="F26" t="n">
        <x:v>6</x:v>
      </x:c>
      <x:c r="G26" t="n">
        <x:v>157</x:v>
      </x:c>
      <x:c r="H26" t="n">
        <x:v>0</x:v>
      </x:c>
      <x:c r="I26" t="n">
        <x:v>0</x:v>
      </x:c>
      <x:c r="J26" s="28" t="n">
        <x:v>56.57</x:v>
      </x:c>
      <x:c r="K26" s="30" t="n">
        <x:f>G26+H26-I26</x:f>
        <x:v>157</x:v>
      </x:c>
      <x:c r="L26" s="30" t="n">
        <x:f>ROUNDUP('Assumptions'!$B$4*E26*SQRT(F26),0)</x:f>
        <x:v>16</x:v>
      </x:c>
      <x:c r="M26" s="30" t="n">
        <x:f>ROUNDUP(D26*F26+L26,0)</x:f>
        <x:v>75</x:v>
      </x:c>
      <x:c r="N26" s="30" t="n">
        <x:f>ROUNDUP(D26*(F26+'Assumptions'!$B$5)+L26,0)</x:f>
        <x:v>144</x:v>
      </x:c>
      <x:c r="O26" s="30" t="n">
        <x:f>IF(K26&lt;=M26,MAX(0,N26-K26),0)</x:f>
        <x:v>0</x:v>
      </x:c>
      <x:c r="P26" s="20" t="n">
        <x:v>0</x:v>
      </x:c>
      <x:c r="Q26" s="32" t="n">
        <x:f>O26*J26</x:f>
        <x:v>0</x:v>
      </x:c>
      <x:c r="R26" s="30" t="str">
        <x:f>IF(K26&lt;=M26,"REORDER","OK")</x:f>
        <x:v>OK</x:v>
      </x:c>
    </x:row>
    <x:row r="27">
      <x:c r="A27" t="str">
        <x:v>SKU-024</x:v>
      </x:c>
      <x:c r="B27" t="str">
        <x:v>Electronics Product 24</x:v>
      </x:c>
      <x:c r="C27" t="str">
        <x:v>A</x:v>
      </x:c>
      <x:c r="D27" s="26" t="n">
        <x:v>13.666</x:v>
      </x:c>
      <x:c r="E27" s="26" t="n">
        <x:v>4.354</x:v>
      </x:c>
      <x:c r="F27" t="n">
        <x:v>4</x:v>
      </x:c>
      <x:c r="G27" t="n">
        <x:v>54</x:v>
      </x:c>
      <x:c r="H27" t="n">
        <x:v>0</x:v>
      </x:c>
      <x:c r="I27" t="n">
        <x:v>0</x:v>
      </x:c>
      <x:c r="J27" s="28" t="n">
        <x:v>38.93</x:v>
      </x:c>
      <x:c r="K27" s="30" t="n">
        <x:f>G27+H27-I27</x:f>
        <x:v>54</x:v>
      </x:c>
      <x:c r="L27" s="30" t="n">
        <x:f>ROUNDUP('Assumptions'!$B$4*E27*SQRT(F27),0)</x:f>
        <x:v>15</x:v>
      </x:c>
      <x:c r="M27" s="30" t="n">
        <x:f>ROUNDUP(D27*F27+L27,0)</x:f>
        <x:v>70</x:v>
      </x:c>
      <x:c r="N27" s="30" t="n">
        <x:f>ROUNDUP(D27*(F27+'Assumptions'!$B$5)+L27,0)</x:f>
        <x:v>166</x:v>
      </x:c>
      <x:c r="O27" s="30" t="n">
        <x:f>IF(K27&lt;=M27,MAX(0,N27-K27),0)</x:f>
        <x:v>112</x:v>
      </x:c>
      <x:c r="P27" s="20" t="n">
        <x:v>0.5304</x:v>
      </x:c>
      <x:c r="Q27" s="32" t="n">
        <x:f>O27*J27</x:f>
        <x:v>4360.16</x:v>
      </x:c>
      <x:c r="R27" s="30" t="str">
        <x:f>IF(K27&lt;=M27,"REORDER","OK")</x:f>
        <x:v>REORDER</x:v>
      </x:c>
    </x:row>
    <x:row r="28">
      <x:c r="A28" t="str">
        <x:v>SKU-025</x:v>
      </x:c>
      <x:c r="B28" t="str">
        <x:v>Kitchen Product 25</x:v>
      </x:c>
      <x:c r="C28" t="str">
        <x:v>B</x:v>
      </x:c>
      <x:c r="D28" s="26" t="n">
        <x:v>14.082</x:v>
      </x:c>
      <x:c r="E28" s="26" t="n">
        <x:v>5.04</x:v>
      </x:c>
      <x:c r="F28" t="n">
        <x:v>18</x:v>
      </x:c>
      <x:c r="G28" t="n">
        <x:v>132</x:v>
      </x:c>
      <x:c r="H28" t="n">
        <x:v>70</x:v>
      </x:c>
      <x:c r="I28" t="n">
        <x:v>0</x:v>
      </x:c>
      <x:c r="J28" s="28" t="n">
        <x:v>35.08</x:v>
      </x:c>
      <x:c r="K28" s="30" t="n">
        <x:f>G28+H28-I28</x:f>
        <x:v>202</x:v>
      </x:c>
      <x:c r="L28" s="30" t="n">
        <x:f>ROUNDUP('Assumptions'!$B$4*E28*SQRT(F28),0)</x:f>
        <x:v>36</x:v>
      </x:c>
      <x:c r="M28" s="30" t="n">
        <x:f>ROUNDUP(D28*F28+L28,0)</x:f>
        <x:v>290</x:v>
      </x:c>
      <x:c r="N28" s="30" t="n">
        <x:f>ROUNDUP(D28*(F28+'Assumptions'!$B$5)+L28,0)</x:f>
        <x:v>389</x:v>
      </x:c>
      <x:c r="O28" s="30" t="n">
        <x:f>IF(K28&lt;=M28,MAX(0,N28-K28),0)</x:f>
        <x:v>187</x:v>
      </x:c>
      <x:c r="P28" s="20" t="n">
        <x:v>1</x:v>
      </x:c>
      <x:c r="Q28" s="32" t="n">
        <x:f>O28*J28</x:f>
        <x:v>6559.96</x:v>
      </x:c>
      <x:c r="R28" s="30" t="str">
        <x:f>IF(K28&lt;=M28,"REORDER","OK")</x:f>
        <x:v>REORDER</x:v>
      </x:c>
    </x:row>
    <x:row r="29">
      <x:c r="A29" t="str">
        <x:v>SKU-026</x:v>
      </x:c>
      <x:c r="B29" t="str">
        <x:v>Home Product 26</x:v>
      </x:c>
      <x:c r="C29" t="str">
        <x:v>C</x:v>
      </x:c>
      <x:c r="D29" s="26" t="n">
        <x:v>9.514</x:v>
      </x:c>
      <x:c r="E29" s="26" t="n">
        <x:v>3.033</x:v>
      </x:c>
      <x:c r="F29" t="n">
        <x:v>13</x:v>
      </x:c>
      <x:c r="G29" t="n">
        <x:v>100</x:v>
      </x:c>
      <x:c r="H29" t="n">
        <x:v>12</x:v>
      </x:c>
      <x:c r="I29" t="n">
        <x:v>0</x:v>
      </x:c>
      <x:c r="J29" s="28" t="n">
        <x:v>6.8</x:v>
      </x:c>
      <x:c r="K29" s="30" t="n">
        <x:f>G29+H29-I29</x:f>
        <x:v>112</x:v>
      </x:c>
      <x:c r="L29" s="30" t="n">
        <x:f>ROUNDUP('Assumptions'!$B$4*E29*SQRT(F29),0)</x:f>
        <x:v>18</x:v>
      </x:c>
      <x:c r="M29" s="30" t="n">
        <x:f>ROUNDUP(D29*F29+L29,0)</x:f>
        <x:v>142</x:v>
      </x:c>
      <x:c r="N29" s="30" t="n">
        <x:f>ROUNDUP(D29*(F29+'Assumptions'!$B$5)+L29,0)</x:f>
        <x:v>209</x:v>
      </x:c>
      <x:c r="O29" s="30" t="n">
        <x:f>IF(K29&lt;=M29,MAX(0,N29-K29),0)</x:f>
        <x:v>97</x:v>
      </x:c>
      <x:c r="P29" s="20" t="n">
        <x:v>0.9848</x:v>
      </x:c>
      <x:c r="Q29" s="32" t="n">
        <x:f>O29*J29</x:f>
        <x:v>659.6</x:v>
      </x:c>
      <x:c r="R29" s="30" t="str">
        <x:f>IF(K29&lt;=M29,"REORDER","OK")</x:f>
        <x:v>REORDER</x:v>
      </x:c>
    </x:row>
    <x:row r="30">
      <x:c r="A30" t="str">
        <x:v>SKU-027</x:v>
      </x:c>
      <x:c r="B30" t="str">
        <x:v>Personal Care Product 27</x:v>
      </x:c>
      <x:c r="C30" t="str">
        <x:v>C</x:v>
      </x:c>
      <x:c r="D30" s="26" t="n">
        <x:v>22.188</x:v>
      </x:c>
      <x:c r="E30" s="26" t="n">
        <x:v>7.267</x:v>
      </x:c>
      <x:c r="F30" t="n">
        <x:v>8</x:v>
      </x:c>
      <x:c r="G30" t="n">
        <x:v>254</x:v>
      </x:c>
      <x:c r="H30" t="n">
        <x:v>0</x:v>
      </x:c>
      <x:c r="I30" t="n">
        <x:v>0</x:v>
      </x:c>
      <x:c r="J30" s="28" t="n">
        <x:v>9.85</x:v>
      </x:c>
      <x:c r="K30" s="30" t="n">
        <x:f>G30+H30-I30</x:f>
        <x:v>254</x:v>
      </x:c>
      <x:c r="L30" s="30" t="n">
        <x:f>ROUNDUP('Assumptions'!$B$4*E30*SQRT(F30),0)</x:f>
        <x:v>34</x:v>
      </x:c>
      <x:c r="M30" s="30" t="n">
        <x:f>ROUNDUP(D30*F30+L30,0)</x:f>
        <x:v>212</x:v>
      </x:c>
      <x:c r="N30" s="30" t="n">
        <x:f>ROUNDUP(D30*(F30+'Assumptions'!$B$5)+L30,0)</x:f>
        <x:v>367</x:v>
      </x:c>
      <x:c r="O30" s="30" t="n">
        <x:f>IF(K30&lt;=M30,MAX(0,N30-K30),0)</x:f>
        <x:v>0</x:v>
      </x:c>
      <x:c r="P30" s="20" t="n">
        <x:v>0.0001</x:v>
      </x:c>
      <x:c r="Q30" s="32" t="n">
        <x:f>O30*J30</x:f>
        <x:v>0</x:v>
      </x:c>
      <x:c r="R30" s="30" t="str">
        <x:f>IF(K30&lt;=M30,"REORDER","OK")</x:f>
        <x:v>OK</x:v>
      </x:c>
    </x:row>
    <x:row r="31">
      <x:c r="A31" t="str">
        <x:v>SKU-028</x:v>
      </x:c>
      <x:c r="B31" t="str">
        <x:v>Stationery Product 28</x:v>
      </x:c>
      <x:c r="C31" t="str">
        <x:v>A</x:v>
      </x:c>
      <x:c r="D31" s="26" t="n">
        <x:v>18.578</x:v>
      </x:c>
      <x:c r="E31" s="26" t="n">
        <x:v>6.113</x:v>
      </x:c>
      <x:c r="F31" t="n">
        <x:v>5</x:v>
      </x:c>
      <x:c r="G31" t="n">
        <x:v>163</x:v>
      </x:c>
      <x:c r="H31" t="n">
        <x:v>100</x:v>
      </x:c>
      <x:c r="I31" t="n">
        <x:v>0</x:v>
      </x:c>
      <x:c r="J31" s="28" t="n">
        <x:v>66.3</x:v>
      </x:c>
      <x:c r="K31" s="30" t="n">
        <x:f>G31+H31-I31</x:f>
        <x:v>263</x:v>
      </x:c>
      <x:c r="L31" s="30" t="n">
        <x:f>ROUNDUP('Assumptions'!$B$4*E31*SQRT(F31),0)</x:f>
        <x:v>23</x:v>
      </x:c>
      <x:c r="M31" s="30" t="n">
        <x:f>ROUNDUP(D31*F31+L31,0)</x:f>
        <x:v>116</x:v>
      </x:c>
      <x:c r="N31" s="30" t="n">
        <x:f>ROUNDUP(D31*(F31+'Assumptions'!$B$5)+L31,0)</x:f>
        <x:v>246</x:v>
      </x:c>
      <x:c r="O31" s="30" t="n">
        <x:f>IF(K31&lt;=M31,MAX(0,N31-K31),0)</x:f>
        <x:v>0</x:v>
      </x:c>
      <x:c r="P31" s="20" t="n">
        <x:v>0</x:v>
      </x:c>
      <x:c r="Q31" s="32" t="n">
        <x:f>O31*J31</x:f>
        <x:v>0</x:v>
      </x:c>
      <x:c r="R31" s="30" t="str">
        <x:f>IF(K31&lt;=M31,"REORDER","OK")</x:f>
        <x:v>OK</x:v>
      </x:c>
    </x:row>
    <x:row r="32">
      <x:c r="A32" t="str">
        <x:v>SKU-029</x:v>
      </x:c>
      <x:c r="B32" t="str">
        <x:v>Electronics Product 29</x:v>
      </x:c>
      <x:c r="C32" t="str">
        <x:v>A</x:v>
      </x:c>
      <x:c r="D32" s="26" t="n">
        <x:v>34.763</x:v>
      </x:c>
      <x:c r="E32" s="26" t="n">
        <x:v>9.312</x:v>
      </x:c>
      <x:c r="F32" t="n">
        <x:v>18</x:v>
      </x:c>
      <x:c r="G32" t="n">
        <x:v>192</x:v>
      </x:c>
      <x:c r="H32" t="n">
        <x:v>77</x:v>
      </x:c>
      <x:c r="I32" t="n">
        <x:v>0</x:v>
      </x:c>
      <x:c r="J32" s="28" t="n">
        <x:v>49.92</x:v>
      </x:c>
      <x:c r="K32" s="30" t="n">
        <x:f>G32+H32-I32</x:f>
        <x:v>269</x:v>
      </x:c>
      <x:c r="L32" s="30" t="n">
        <x:f>ROUNDUP('Assumptions'!$B$4*E32*SQRT(F32),0)</x:f>
        <x:v>65</x:v>
      </x:c>
      <x:c r="M32" s="30" t="n">
        <x:f>ROUNDUP(D32*F32+L32,0)</x:f>
        <x:v>691</x:v>
      </x:c>
      <x:c r="N32" s="30" t="n">
        <x:f>ROUNDUP(D32*(F32+'Assumptions'!$B$5)+L32,0)</x:f>
        <x:v>935</x:v>
      </x:c>
      <x:c r="O32" s="30" t="n">
        <x:f>IF(K32&lt;=M32,MAX(0,N32-K32),0)</x:f>
        <x:v>666</x:v>
      </x:c>
      <x:c r="P32" s="20" t="n">
        <x:v>1</x:v>
      </x:c>
      <x:c r="Q32" s="32" t="n">
        <x:f>O32*J32</x:f>
        <x:v>33246.72</x:v>
      </x:c>
      <x:c r="R32" s="30" t="str">
        <x:f>IF(K32&lt;=M32,"REORDER","OK")</x:f>
        <x:v>REORDER</x:v>
      </x:c>
    </x:row>
    <x:row r="33">
      <x:c r="A33" t="str">
        <x:v>SKU-030</x:v>
      </x:c>
      <x:c r="B33" t="str">
        <x:v>Kitchen Product 30</x:v>
      </x:c>
      <x:c r="C33" t="str">
        <x:v>A</x:v>
      </x:c>
      <x:c r="D33" s="26" t="n">
        <x:v>13.508</x:v>
      </x:c>
      <x:c r="E33" s="26" t="n">
        <x:v>6.11</x:v>
      </x:c>
      <x:c r="F33" t="n">
        <x:v>8</x:v>
      </x:c>
      <x:c r="G33" t="n">
        <x:v>281</x:v>
      </x:c>
      <x:c r="H33" t="n">
        <x:v>0</x:v>
      </x:c>
      <x:c r="I33" t="n">
        <x:v>0</x:v>
      </x:c>
      <x:c r="J33" s="28" t="n">
        <x:v>34.78</x:v>
      </x:c>
      <x:c r="K33" s="30" t="n">
        <x:f>G33+H33-I33</x:f>
        <x:v>281</x:v>
      </x:c>
      <x:c r="L33" s="30" t="n">
        <x:f>ROUNDUP('Assumptions'!$B$4*E33*SQRT(F33),0)</x:f>
        <x:v>29</x:v>
      </x:c>
      <x:c r="M33" s="30" t="n">
        <x:f>ROUNDUP(D33*F33+L33,0)</x:f>
        <x:v>138</x:v>
      </x:c>
      <x:c r="N33" s="30" t="n">
        <x:f>ROUNDUP(D33*(F33+'Assumptions'!$B$5)+L33,0)</x:f>
        <x:v>232</x:v>
      </x:c>
      <x:c r="O33" s="30" t="n">
        <x:f>IF(K33&lt;=M33,MAX(0,N33-K33),0)</x:f>
        <x:v>0</x:v>
      </x:c>
      <x:c r="P33" s="20" t="n">
        <x:v>0</x:v>
      </x:c>
      <x:c r="Q33" s="32" t="n">
        <x:f>O33*J33</x:f>
        <x:v>0</x:v>
      </x:c>
      <x:c r="R33" s="30" t="str">
        <x:f>IF(K33&lt;=M33,"REORDER","OK")</x:f>
        <x:v>OK</x:v>
      </x:c>
    </x:row>
  </x:sheetData>
  <x:mergeCells>
    <x:mergeCell ref="A1:R1"/>
    <x:mergeCell ref="A2:R2"/>
  </x:mergeCells>
  <x:conditionalFormatting sqref="P4:P33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7" customHeight="1">
      <x:c r="A1" s="4" t="str">
        <x:v>ABC analysis | 365-day sales value ranking</x:v>
      </x:c>
      <x:c r="B1" s="4"/>
      <x:c r="C1" s="4"/>
      <x:c r="D1" s="4"/>
      <x:c r="E1" s="4"/>
      <x:c r="F1" s="4"/>
      <x:c r="G1" s="4"/>
    </x:row>
    <x:row r="3" ht="26" customHeight="1">
      <x:c r="A3" s="11" t="str">
        <x:v>SKU</x:v>
      </x:c>
      <x:c r="B3" s="11" t="str">
        <x:v>Product</x:v>
      </x:c>
      <x:c r="C3" s="11" t="str">
        <x:v>Category</x:v>
      </x:c>
      <x:c r="D3" s="11" t="str">
        <x:v>Annual revenue (£)</x:v>
      </x:c>
      <x:c r="E3" s="11" t="str">
        <x:v>Units sold</x:v>
      </x:c>
      <x:c r="F3" s="11" t="str">
        <x:v>Share of revenue</x:v>
      </x:c>
      <x:c r="G3" s="11" t="str">
        <x:v>ABC class</x:v>
      </x:c>
    </x:row>
    <x:row r="4">
      <x:c r="A4" t="str">
        <x:v>SKU-029</x:v>
      </x:c>
      <x:c r="B4" t="str">
        <x:v>Electronics Product 29</x:v>
      </x:c>
      <x:c r="C4" t="str">
        <x:v>Electronics</x:v>
      </x:c>
      <x:c r="D4" s="34" t="n">
        <x:v>935134.76</x:v>
      </x:c>
      <x:c r="E4" t="n">
        <x:v>10766</x:v>
      </x:c>
      <x:c r="F4" s="36" t="n">
        <x:v>0.0882</x:v>
      </x:c>
      <x:c r="G4" t="str">
        <x:v>A</x:v>
      </x:c>
    </x:row>
    <x:row r="5">
      <x:c r="A5" t="str">
        <x:v>SKU-003</x:v>
      </x:c>
      <x:c r="B5" t="str">
        <x:v>Stationery Product 03</x:v>
      </x:c>
      <x:c r="C5" t="str">
        <x:v>Stationery</x:v>
      </x:c>
      <x:c r="D5" s="34" t="n">
        <x:v>727140.15</x:v>
      </x:c>
      <x:c r="E5" t="n">
        <x:v>8641</x:v>
      </x:c>
      <x:c r="F5" s="36" t="n">
        <x:v>0.06860000000000001</x:v>
      </x:c>
      <x:c r="G5" t="str">
        <x:v>A</x:v>
      </x:c>
    </x:row>
    <x:row r="6">
      <x:c r="A6" t="str">
        <x:v>SKU-005</x:v>
      </x:c>
      <x:c r="B6" t="str">
        <x:v>Kitchen Product 05</x:v>
      </x:c>
      <x:c r="C6" t="str">
        <x:v>Kitchen</x:v>
      </x:c>
      <x:c r="D6" s="34" t="n">
        <x:v>674360.72</x:v>
      </x:c>
      <x:c r="E6" t="n">
        <x:v>7601</x:v>
      </x:c>
      <x:c r="F6" s="36" t="n">
        <x:v>0.0636</x:v>
      </x:c>
      <x:c r="G6" t="str">
        <x:v>A</x:v>
      </x:c>
    </x:row>
    <x:row r="7">
      <x:c r="A7" t="str">
        <x:v>SKU-002</x:v>
      </x:c>
      <x:c r="B7" t="str">
        <x:v>Personal Care Product 02</x:v>
      </x:c>
      <x:c r="C7" t="str">
        <x:v>Personal Care</x:v>
      </x:c>
      <x:c r="D7" s="34" t="n">
        <x:v>608388.7</x:v>
      </x:c>
      <x:c r="E7" t="n">
        <x:v>7706</x:v>
      </x:c>
      <x:c r="F7" s="36" t="n">
        <x:v>0.0574</x:v>
      </x:c>
      <x:c r="G7" t="str">
        <x:v>A</x:v>
      </x:c>
    </x:row>
    <x:row r="8">
      <x:c r="A8" t="str">
        <x:v>SKU-028</x:v>
      </x:c>
      <x:c r="B8" t="str">
        <x:v>Stationery Product 28</x:v>
      </x:c>
      <x:c r="C8" t="str">
        <x:v>Stationery</x:v>
      </x:c>
      <x:c r="D8" s="34" t="n">
        <x:v>572920.92</x:v>
      </x:c>
      <x:c r="E8" t="n">
        <x:v>6462</x:v>
      </x:c>
      <x:c r="F8" s="36" t="n">
        <x:v>0.054000000000000006</x:v>
      </x:c>
      <x:c r="G8" t="str">
        <x:v>A</x:v>
      </x:c>
    </x:row>
    <x:row r="9">
      <x:c r="A9" t="str">
        <x:v>SKU-017</x:v>
      </x:c>
      <x:c r="B9" t="str">
        <x:v>Personal Care Product 17</x:v>
      </x:c>
      <x:c r="C9" t="str">
        <x:v>Personal Care</x:v>
      </x:c>
      <x:c r="D9" s="34" t="n">
        <x:v>524935.62</x:v>
      </x:c>
      <x:c r="E9" t="n">
        <x:v>7914</x:v>
      </x:c>
      <x:c r="F9" s="36" t="n">
        <x:v>0.0495</x:v>
      </x:c>
      <x:c r="G9" t="str">
        <x:v>A</x:v>
      </x:c>
    </x:row>
    <x:row r="10">
      <x:c r="A10" t="str">
        <x:v>SKU-013</x:v>
      </x:c>
      <x:c r="B10" t="str">
        <x:v>Stationery Product 13</x:v>
      </x:c>
      <x:c r="C10" t="str">
        <x:v>Stationery</x:v>
      </x:c>
      <x:c r="D10" s="34" t="n">
        <x:v>475163.43</x:v>
      </x:c>
      <x:c r="E10" t="n">
        <x:v>8517</x:v>
      </x:c>
      <x:c r="F10" s="36" t="n">
        <x:v>0.044800000000000006</x:v>
      </x:c>
      <x:c r="G10" t="str">
        <x:v>A</x:v>
      </x:c>
    </x:row>
    <x:row r="11">
      <x:c r="A11" t="str">
        <x:v>SKU-004</x:v>
      </x:c>
      <x:c r="B11" t="str">
        <x:v>Electronics Product 04</x:v>
      </x:c>
      <x:c r="C11" t="str">
        <x:v>Electronics</x:v>
      </x:c>
      <x:c r="D11" s="34" t="n">
        <x:v>450237.48</x:v>
      </x:c>
      <x:c r="E11" t="n">
        <x:v>6961</x:v>
      </x:c>
      <x:c r="F11" s="36" t="n">
        <x:v>0.0425</x:v>
      </x:c>
      <x:c r="G11" t="str">
        <x:v>A</x:v>
      </x:c>
    </x:row>
    <x:row r="12">
      <x:c r="A12" t="str">
        <x:v>SKU-001</x:v>
      </x:c>
      <x:c r="B12" t="str">
        <x:v>Home Product 01</x:v>
      </x:c>
      <x:c r="C12" t="str">
        <x:v>Home</x:v>
      </x:c>
      <x:c r="D12" s="34" t="n">
        <x:v>440550.9</x:v>
      </x:c>
      <x:c r="E12" t="n">
        <x:v>6165</x:v>
      </x:c>
      <x:c r="F12" s="36" t="n">
        <x:v>0.0416</x:v>
      </x:c>
      <x:c r="G12" t="str">
        <x:v>A</x:v>
      </x:c>
    </x:row>
    <x:row r="13">
      <x:c r="A13" t="str">
        <x:v>SKU-010</x:v>
      </x:c>
      <x:c r="B13" t="str">
        <x:v>Kitchen Product 10</x:v>
      </x:c>
      <x:c r="C13" t="str">
        <x:v>Kitchen</x:v>
      </x:c>
      <x:c r="D13" s="34" t="n">
        <x:v>405344.94</x:v>
      </x:c>
      <x:c r="E13" t="n">
        <x:v>4641</x:v>
      </x:c>
      <x:c r="F13" s="36" t="n">
        <x:v>0.0382</x:v>
      </x:c>
      <x:c r="G13" t="str">
        <x:v>A</x:v>
      </x:c>
    </x:row>
    <x:row r="14">
      <x:c r="A14" t="str">
        <x:v>SKU-019</x:v>
      </x:c>
      <x:c r="B14" t="str">
        <x:v>Electronics Product 19</x:v>
      </x:c>
      <x:c r="C14" t="str">
        <x:v>Electronics</x:v>
      </x:c>
      <x:c r="D14" s="34" t="n">
        <x:v>405145.02</x:v>
      </x:c>
      <x:c r="E14" t="n">
        <x:v>7518</x:v>
      </x:c>
      <x:c r="F14" s="36" t="n">
        <x:v>0.0382</x:v>
      </x:c>
      <x:c r="G14" t="str">
        <x:v>A</x:v>
      </x:c>
    </x:row>
    <x:row r="15">
      <x:c r="A15" t="str">
        <x:v>SKU-018</x:v>
      </x:c>
      <x:c r="B15" t="str">
        <x:v>Stationery Product 18</x:v>
      </x:c>
      <x:c r="C15" t="str">
        <x:v>Stationery</x:v>
      </x:c>
      <x:c r="D15" s="34" t="n">
        <x:v>403312.5</x:v>
      </x:c>
      <x:c r="E15" t="n">
        <x:v>9375</x:v>
      </x:c>
      <x:c r="F15" s="36" t="n">
        <x:v>0.038</x:v>
      </x:c>
      <x:c r="G15" t="str">
        <x:v>A</x:v>
      </x:c>
    </x:row>
    <x:row r="16">
      <x:c r="A16" t="str">
        <x:v>SKU-020</x:v>
      </x:c>
      <x:c r="B16" t="str">
        <x:v>Kitchen Product 20</x:v>
      </x:c>
      <x:c r="C16" t="str">
        <x:v>Kitchen</x:v>
      </x:c>
      <x:c r="D16" s="34" t="n">
        <x:v>386932.5</x:v>
      </x:c>
      <x:c r="E16" t="n">
        <x:v>10875</x:v>
      </x:c>
      <x:c r="F16" s="36" t="n">
        <x:v>0.0365</x:v>
      </x:c>
      <x:c r="G16" t="str">
        <x:v>A</x:v>
      </x:c>
    </x:row>
    <x:row r="17">
      <x:c r="A17" t="str">
        <x:v>SKU-022</x:v>
      </x:c>
      <x:c r="B17" t="str">
        <x:v>Personal Care Product 22</x:v>
      </x:c>
      <x:c r="C17" t="str">
        <x:v>Personal Care</x:v>
      </x:c>
      <x:c r="D17" s="34" t="n">
        <x:v>367613.44</x:v>
      </x:c>
      <x:c r="E17" t="n">
        <x:v>4352</x:v>
      </x:c>
      <x:c r="F17" s="36" t="n">
        <x:v>0.0347</x:v>
      </x:c>
      <x:c r="G17" t="str">
        <x:v>A</x:v>
      </x:c>
    </x:row>
    <x:row r="18">
      <x:c r="A18" t="str">
        <x:v>SKU-021</x:v>
      </x:c>
      <x:c r="B18" t="str">
        <x:v>Home Product 21</x:v>
      </x:c>
      <x:c r="C18" t="str">
        <x:v>Home</x:v>
      </x:c>
      <x:c r="D18" s="34" t="n">
        <x:v>361263.8</x:v>
      </x:c>
      <x:c r="E18" t="n">
        <x:v>6590</x:v>
      </x:c>
      <x:c r="F18" s="36" t="n">
        <x:v>0.0341</x:v>
      </x:c>
      <x:c r="G18" t="str">
        <x:v>A</x:v>
      </x:c>
    </x:row>
    <x:row r="19">
      <x:c r="A19" t="str">
        <x:v>SKU-030</x:v>
      </x:c>
      <x:c r="B19" t="str">
        <x:v>Kitchen Product 30</x:v>
      </x:c>
      <x:c r="C19" t="str">
        <x:v>Kitchen</x:v>
      </x:c>
      <x:c r="D19" s="34" t="n">
        <x:v>341568.88</x:v>
      </x:c>
      <x:c r="E19" t="n">
        <x:v>5294</x:v>
      </x:c>
      <x:c r="F19" s="36" t="n">
        <x:v>0.0322</x:v>
      </x:c>
      <x:c r="G19" t="str">
        <x:v>A</x:v>
      </x:c>
    </x:row>
    <x:row r="20">
      <x:c r="A20" t="str">
        <x:v>SKU-024</x:v>
      </x:c>
      <x:c r="B20" t="str">
        <x:v>Electronics Product 24</x:v>
      </x:c>
      <x:c r="C20" t="str">
        <x:v>Electronics</x:v>
      </x:c>
      <x:c r="D20" s="34" t="n">
        <x:v>312470.42</x:v>
      </x:c>
      <x:c r="E20" t="n">
        <x:v>5393</x:v>
      </x:c>
      <x:c r="F20" s="36" t="n">
        <x:v>0.029500000000000002</x:v>
      </x:c>
      <x:c r="G20" t="str">
        <x:v>A</x:v>
      </x:c>
    </x:row>
    <x:row r="21">
      <x:c r="A21" t="str">
        <x:v>SKU-015</x:v>
      </x:c>
      <x:c r="B21" t="str">
        <x:v>Kitchen Product 15</x:v>
      </x:c>
      <x:c r="C21" t="str">
        <x:v>Kitchen</x:v>
      </x:c>
      <x:c r="D21" s="34" t="n">
        <x:v>294082.53</x:v>
      </x:c>
      <x:c r="E21" t="n">
        <x:v>5449</x:v>
      </x:c>
      <x:c r="F21" s="36" t="n">
        <x:v>0.0277</x:v>
      </x:c>
      <x:c r="G21" t="str">
        <x:v>A</x:v>
      </x:c>
    </x:row>
    <x:row r="22">
      <x:c r="A22" t="str">
        <x:v>SKU-009</x:v>
      </x:c>
      <x:c r="B22" t="str">
        <x:v>Electronics Product 09</x:v>
      </x:c>
      <x:c r="C22" t="str">
        <x:v>Electronics</x:v>
      </x:c>
      <x:c r="D22" s="34" t="n">
        <x:v>285586.12</x:v>
      </x:c>
      <x:c r="E22" t="n">
        <x:v>12406</x:v>
      </x:c>
      <x:c r="F22" s="36" t="n">
        <x:v>0.0269</x:v>
      </x:c>
      <x:c r="G22" t="str">
        <x:v>B</x:v>
      </x:c>
    </x:row>
    <x:row r="23">
      <x:c r="A23" t="str">
        <x:v>SKU-023</x:v>
      </x:c>
      <x:c r="B23" t="str">
        <x:v>Stationery Product 23</x:v>
      </x:c>
      <x:c r="C23" t="str">
        <x:v>Stationery</x:v>
      </x:c>
      <x:c r="D23" s="34" t="n">
        <x:v>283578.02</x:v>
      </x:c>
      <x:c r="E23" t="n">
        <x:v>3842</x:v>
      </x:c>
      <x:c r="F23" s="36" t="n">
        <x:v>0.0268</x:v>
      </x:c>
      <x:c r="G23" t="str">
        <x:v>B</x:v>
      </x:c>
    </x:row>
    <x:row r="24">
      <x:c r="A24" t="str">
        <x:v>SKU-025</x:v>
      </x:c>
      <x:c r="B24" t="str">
        <x:v>Kitchen Product 25</x:v>
      </x:c>
      <x:c r="C24" t="str">
        <x:v>Kitchen</x:v>
      </x:c>
      <x:c r="D24" s="34" t="n">
        <x:v>259525.64</x:v>
      </x:c>
      <x:c r="E24" t="n">
        <x:v>4988</x:v>
      </x:c>
      <x:c r="F24" s="36" t="n">
        <x:v>0.0245</x:v>
      </x:c>
      <x:c r="G24" t="str">
        <x:v>B</x:v>
      </x:c>
    </x:row>
    <x:row r="25">
      <x:c r="A25" t="str">
        <x:v>SKU-011</x:v>
      </x:c>
      <x:c r="B25" t="str">
        <x:v>Home Product 11</x:v>
      </x:c>
      <x:c r="C25" t="str">
        <x:v>Home</x:v>
      </x:c>
      <x:c r="D25" s="34" t="n">
        <x:v>257456.43</x:v>
      </x:c>
      <x:c r="E25" t="n">
        <x:v>4213</x:v>
      </x:c>
      <x:c r="F25" s="36" t="n">
        <x:v>0.024300000000000002</x:v>
      </x:c>
      <x:c r="G25" t="str">
        <x:v>B</x:v>
      </x:c>
    </x:row>
    <x:row r="26">
      <x:c r="A26" t="str">
        <x:v>SKU-007</x:v>
      </x:c>
      <x:c r="B26" t="str">
        <x:v>Personal Care Product 07</x:v>
      </x:c>
      <x:c r="C26" t="str">
        <x:v>Personal Care</x:v>
      </x:c>
      <x:c r="D26" s="34" t="n">
        <x:v>187551.04</x:v>
      </x:c>
      <x:c r="E26" t="n">
        <x:v>6544</x:v>
      </x:c>
      <x:c r="F26" s="36" t="n">
        <x:v>0.0177</x:v>
      </x:c>
      <x:c r="G26" t="str">
        <x:v>B</x:v>
      </x:c>
    </x:row>
    <x:row r="27">
      <x:c r="A27" t="str">
        <x:v>SKU-014</x:v>
      </x:c>
      <x:c r="B27" t="str">
        <x:v>Electronics Product 14</x:v>
      </x:c>
      <x:c r="C27" t="str">
        <x:v>Electronics</x:v>
      </x:c>
      <x:c r="D27" s="34" t="n">
        <x:v>171513.68</x:v>
      </x:c>
      <x:c r="E27" t="n">
        <x:v>5668</x:v>
      </x:c>
      <x:c r="F27" s="36" t="n">
        <x:v>0.016200000000000003</x:v>
      </x:c>
      <x:c r="G27" t="str">
        <x:v>B</x:v>
      </x:c>
    </x:row>
    <x:row r="28">
      <x:c r="A28" t="str">
        <x:v>SKU-016</x:v>
      </x:c>
      <x:c r="B28" t="str">
        <x:v>Home Product 16</x:v>
      </x:c>
      <x:c r="C28" t="str">
        <x:v>Home</x:v>
      </x:c>
      <x:c r="D28" s="34" t="n">
        <x:v>116832.8</x:v>
      </x:c>
      <x:c r="E28" t="n">
        <x:v>2480</x:v>
      </x:c>
      <x:c r="F28" s="36" t="n">
        <x:v>0.011000000000000001</x:v>
      </x:c>
      <x:c r="G28" t="str">
        <x:v>C</x:v>
      </x:c>
    </x:row>
    <x:row r="29">
      <x:c r="A29" t="str">
        <x:v>SKU-027</x:v>
      </x:c>
      <x:c r="B29" t="str">
        <x:v>Personal Care Product 27</x:v>
      </x:c>
      <x:c r="C29" t="str">
        <x:v>Personal Care</x:v>
      </x:c>
      <x:c r="D29" s="34" t="n">
        <x:v>106156.05</x:v>
      </x:c>
      <x:c r="E29" t="n">
        <x:v>7777</x:v>
      </x:c>
      <x:c r="F29" s="36" t="n">
        <x:v>0.01</x:v>
      </x:c>
      <x:c r="G29" t="str">
        <x:v>C</x:v>
      </x:c>
    </x:row>
    <x:row r="30">
      <x:c r="A30" t="str">
        <x:v>SKU-008</x:v>
      </x:c>
      <x:c r="B30" t="str">
        <x:v>Stationery Product 08</x:v>
      </x:c>
      <x:c r="C30" t="str">
        <x:v>Stationery</x:v>
      </x:c>
      <x:c r="D30" s="34" t="n">
        <x:v>88555.74</x:v>
      </x:c>
      <x:c r="E30" t="n">
        <x:v>4459</x:v>
      </x:c>
      <x:c r="F30" s="36" t="n">
        <x:v>0.0084</x:v>
      </x:c>
      <x:c r="G30" t="str">
        <x:v>C</x:v>
      </x:c>
    </x:row>
    <x:row r="31">
      <x:c r="A31" t="str">
        <x:v>SKU-012</x:v>
      </x:c>
      <x:c r="B31" t="str">
        <x:v>Personal Care Product 12</x:v>
      </x:c>
      <x:c r="C31" t="str">
        <x:v>Personal Care</x:v>
      </x:c>
      <x:c r="D31" s="34" t="n">
        <x:v>72513.5</x:v>
      </x:c>
      <x:c r="E31" t="n">
        <x:v>1615</x:v>
      </x:c>
      <x:c r="F31" s="36" t="n">
        <x:v>0.0068000000000000005</x:v>
      </x:c>
      <x:c r="G31" t="str">
        <x:v>C</x:v>
      </x:c>
    </x:row>
    <x:row r="32">
      <x:c r="A32" t="str">
        <x:v>SKU-006</x:v>
      </x:c>
      <x:c r="B32" t="str">
        <x:v>Home Product 06</x:v>
      </x:c>
      <x:c r="C32" t="str">
        <x:v>Home</x:v>
      </x:c>
      <x:c r="D32" s="34" t="n">
        <x:v>56887.71</x:v>
      </x:c>
      <x:c r="E32" t="n">
        <x:v>6963</x:v>
      </x:c>
      <x:c r="F32" s="36" t="n">
        <x:v>0.0054</x:v>
      </x:c>
      <x:c r="G32" t="str">
        <x:v>C</x:v>
      </x:c>
    </x:row>
    <x:row r="33">
      <x:c r="A33" t="str">
        <x:v>SKU-026</x:v>
      </x:c>
      <x:c r="B33" t="str">
        <x:v>Home Product 26</x:v>
      </x:c>
      <x:c r="C33" t="str">
        <x:v>Home</x:v>
      </x:c>
      <x:c r="D33" s="34" t="n">
        <x:v>27391.08</x:v>
      </x:c>
      <x:c r="E33" t="n">
        <x:v>2958</x:v>
      </x:c>
      <x:c r="F33" s="36" t="n">
        <x:v>0.0026</x:v>
      </x:c>
      <x:c r="G33" t="str">
        <x:v>C</x:v>
      </x:c>
    </x:row>
    <x:row r="34">
      <x:c r="D34" s="34"/>
      <x:c r="F34" s="36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7" customHeight="1">
      <x:c r="A1" s="4" t="str">
        <x:v>Model selection: validation first, untouched test second</x:v>
      </x:c>
      <x:c r="B1" s="4"/>
      <x:c r="C1" s="4"/>
      <x:c r="D1" s="4"/>
      <x:c r="E1" s="4"/>
      <x:c r="F1" s="4"/>
    </x:row>
    <x:row r="3" ht="26" customHeight="1">
      <x:c r="A3" s="11" t="str">
        <x:v>Split</x:v>
      </x:c>
      <x:c r="B3" s="11" t="str">
        <x:v>Model</x:v>
      </x:c>
      <x:c r="C3" s="11" t="str">
        <x:v>MAE units</x:v>
      </x:c>
      <x:c r="D3" s="11" t="str">
        <x:v>WAPE (%)</x:v>
      </x:c>
      <x:c r="E3" s="11" t="str">
        <x:v>RMSE units</x:v>
      </x:c>
      <x:c r="F3" s="11" t="str">
        <x:v>Bias (%)</x:v>
      </x:c>
    </x:row>
    <x:row r="4">
      <x:c r="A4" t="str">
        <x:v>validation</x:v>
      </x:c>
      <x:c r="B4" t="str">
        <x:v>Gradient Boosting</x:v>
      </x:c>
      <x:c r="C4" s="26" t="n">
        <x:v>4.0594</x:v>
      </x:c>
      <x:c r="D4" s="26" t="n">
        <x:v>21.7092</x:v>
      </x:c>
      <x:c r="E4" s="26" t="n">
        <x:v>5.7242</x:v>
      </x:c>
      <x:c r="F4" s="26" t="n">
        <x:v>-0.4198</x:v>
      </x:c>
    </x:row>
    <x:row r="5">
      <x:c r="A5" t="str">
        <x:v>validation</x:v>
      </x:c>
      <x:c r="B5" t="str">
        <x:v>Seasonal 4-week average</x:v>
      </x:c>
      <x:c r="C5" s="26" t="n">
        <x:v>4.47</x:v>
      </x:c>
      <x:c r="D5" s="26" t="n">
        <x:v>23.9055</x:v>
      </x:c>
      <x:c r="E5" s="26" t="n">
        <x:v>6.1747</x:v>
      </x:c>
      <x:c r="F5" s="26" t="n">
        <x:v>-1.6754</x:v>
      </x:c>
    </x:row>
    <x:row r="6">
      <x:c r="A6" t="str">
        <x:v>test</x:v>
      </x:c>
      <x:c r="B6" t="str">
        <x:v>Gradient Boosting</x:v>
      </x:c>
      <x:c r="C6" s="26" t="n">
        <x:v>4.0545</x:v>
      </x:c>
      <x:c r="D6" s="26" t="n">
        <x:v>21.5325</x:v>
      </x:c>
      <x:c r="E6" s="26" t="n">
        <x:v>5.7267</x:v>
      </x:c>
      <x:c r="F6" s="26" t="n">
        <x:v>-2.5397</x:v>
      </x:c>
    </x:row>
    <x:row r="8" ht="24" customHeight="1">
      <x:c r="A8" s="38" t="str">
        <x:v>Interpretation</x:v>
      </x:c>
      <x:c r="B8" s="38" t="str">
        <x:v>Lower WAPE is better; numbers are % points (e.g., 21.53 means 21.53%).</x:v>
      </x:c>
      <x:c r="C8" s="38" t="str"/>
      <x:c r="D8" s="38" t="str"/>
      <x:c r="E8" s="38" t="str"/>
      <x:c r="F8" s="38" t="str"/>
    </x:row>
    <x:row r="9" ht="24" customHeight="1">
      <x:c r="A9" s="38" t="str">
        <x:v>Integrity</x:v>
      </x:c>
      <x:c r="B9" s="38" t="str">
        <x:v>Model picked with validation only. Test evaluated once. All data synthetic.</x:v>
      </x:c>
      <x:c r="C9" s="38" t="str"/>
      <x:c r="D9" s="38" t="str"/>
      <x:c r="E9" s="38" t="str"/>
      <x:c r="F9" s="38" t="str"/>
    </x:row>
  </x:sheetData>
  <x:mergeCells>
    <x:mergeCell ref="A1:F1"/>
    <x:mergeCell ref="B8:F8"/>
    <x:mergeCell ref="B9:F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54" hidden="0" customWidth="1"/>
    <x:col min="4" max="4" width="42" hidden="0" customWidth="1"/>
  </x:cols>
  <x:sheetData>
    <x:row r="1" ht="37" customHeight="1">
      <x:c r="A1" s="4" t="str">
        <x:v>Model assumptions and scope</x:v>
      </x:c>
      <x:c r="B1" s="4"/>
      <x:c r="C1" s="4"/>
      <x:c r="D1" s="4"/>
      <x:c r="E1" s="4"/>
      <x:c r="F1" s="4"/>
      <x:c r="G1" s="4"/>
      <x:c r="H1" s="4"/>
    </x:row>
    <x:row r="3" ht="26" customHeight="1">
      <x:c r="A3" s="11" t="str">
        <x:v>Parameter</x:v>
      </x:c>
      <x:c r="B3" s="11" t="str">
        <x:v>Value</x:v>
      </x:c>
      <x:c r="C3" s="11" t="str">
        <x:v>Unit</x:v>
      </x:c>
      <x:c r="D3" s="11" t="str">
        <x:v>Important limitation</x:v>
      </x:c>
    </x:row>
    <x:row r="4" ht="24" customHeight="1">
      <x:c r="A4" t="str">
        <x:v>Service level z-score</x:v>
      </x:c>
      <x:c r="B4" t="n">
        <x:v>1.64485362695</x:v>
      </x:c>
      <x:c r="C4" t="str">
        <x:v>z</x:v>
      </x:c>
      <x:c r="D4" t="str">
        <x:v>95% ONE-SIDED normal approximation; not fill rate</x:v>
      </x:c>
    </x:row>
    <x:row r="5" ht="24" customHeight="1">
      <x:c r="A5" t="str">
        <x:v>Review period</x:v>
      </x:c>
      <x:c r="B5" t="n">
        <x:v>7</x:v>
      </x:c>
      <x:c r="C5" t="str">
        <x:v>days</x:v>
      </x:c>
      <x:c r="D5" t="str">
        <x:v>Simple order-up-to horizon; not optimized MOQ</x:v>
      </x:c>
    </x:row>
    <x:row r="6" ht="24" customHeight="1">
      <x:c r="A6" t="str">
        <x:v>High risk threshold</x:v>
      </x:c>
      <x:c r="B6" s="20" t="n">
        <x:v>0.7</x:v>
      </x:c>
      <x:c r="C6" t="str">
        <x:v>probability</x:v>
      </x:c>
      <x:c r="D6" t="str">
        <x:v>Risk calculated in Python; static in Excel</x:v>
      </x:c>
    </x:row>
    <x:row r="7" ht="24" customHeight="1">
      <x:c r="A7" t="str">
        <x:v>Medium risk threshold</x:v>
      </x:c>
      <x:c r="B7" s="20" t="n">
        <x:v>0.3</x:v>
      </x:c>
      <x:c r="C7" t="str">
        <x:v>probability</x:v>
      </x:c>
      <x:c r="D7" t="str">
        <x:v>Inventory receipt arrival dates absent</x:v>
      </x:c>
    </x:row>
    <x:row r="8" ht="24" customHeight="1">
      <x:c r="A8" t="str">
        <x:v>Data source</x:v>
      </x:c>
      <x:c r="B8" t="str">
        <x:v>SYNTHETIC</x:v>
      </x:c>
      <x:c r="C8" t="str">
        <x:v>label</x:v>
      </x:c>
      <x:c r="D8" t="str">
        <x:v>All bundled product sales and balances fictional</x:v>
      </x:c>
    </x:row>
    <x:row r="9" ht="24" customHeight="1"/>
    <x:row r="10" ht="24" customHeight="1">
      <x:c r="A10" s="11" t="str">
        <x:v>Formula</x:v>
      </x:c>
      <x:c r="B10" s="11" t="str">
        <x:v>Stockout risk</x:v>
      </x:c>
      <x:c r="C10" s="11" t="str">
        <x:v>Important note</x:v>
      </x:c>
      <x:c r="D10" s="11" t="str">
        <x:v>Update method</x:v>
      </x:c>
    </x:row>
    <x:row r="11" ht="24" customHeight="1">
      <x:c r="A11" t="str">
        <x:v>Safety stock</x:v>
      </x:c>
      <x:c r="B11" t="str">
        <x:v>ceil(z × σ_d × √L)</x:v>
      </x:c>
      <x:c r="C11" t="str">
        <x:v>Assumes independent demand, fixed lead time</x:v>
      </x:c>
      <x:c r="D11" t="str">
        <x:v>Change z/σ/lead time in planner</x:v>
      </x:c>
    </x:row>
    <x:row r="12" ht="24" customHeight="1">
      <x:c r="A12" t="str">
        <x:v>Reorder point</x:v>
      </x:c>
      <x:c r="B12" t="str">
        <x:v>ceil(mean demand × L + safety stock)</x:v>
      </x:c>
      <x:c r="C12" t="str">
        <x:v>Reorder when inventory position &lt;= ROP</x:v>
      </x:c>
      <x:c r="D12" t="str">
        <x:v>Formulas in planner</x:v>
      </x:c>
    </x:row>
    <x:row r="13" ht="24" customHeight="1">
      <x:c r="A13" t="str">
        <x:v>Order-up-to</x:v>
      </x:c>
      <x:c r="B13" t="str">
        <x:v>ceil(d × (L + R) + safety stock)</x:v>
      </x:c>
      <x:c r="C13" t="str">
        <x:v>Review period included in order-up-to target</x:v>
      </x:c>
      <x:c r="D13" t="str">
        <x:v>Formulas in planner</x:v>
      </x:c>
    </x:row>
    <x:row r="14" ht="24" customHeight="1"/>
    <x:row r="15" ht="36" customHeight="1">
      <x:c r="A15" s="17" t="str">
        <x:v>CRITICAL</x:v>
      </x:c>
      <x:c r="B15" s="17" t="str">
        <x:v>Stockout risk probabilities are Python outputs; they do not recalculate when planner inputs change.</x:v>
      </x:c>
      <x:c r="C15" s="17" t="str">
        <x:v>Re-run Python to refresh source risk.</x:v>
      </x:c>
      <x:c r="D15" s="17" t="str"/>
    </x:row>
    <x:row r="16" ht="36" customHeight="1">
      <x:c r="A16" s="17" t="str">
        <x:v>NOT PRODUCTION</x:v>
      </x:c>
      <x:c r="B16" s="17" t="str">
        <x:v>No MOQ, capacity, returns handling, stockout-censoring correction or variable lead time.</x:v>
      </x:c>
      <x:c r="C16" s="17" t="str"/>
      <x:c r="D16" s="17" t="str"/>
    </x:row>
    <x:row r="17" ht="36" customHeight="1">
      <x:c r="A17" s="17" t="str">
        <x:v>NOT OBSERVED</x:v>
      </x:c>
      <x:c r="B17" s="17" t="str">
        <x:v>Simulated reorder decisions do not mean money was saved or actual outages prevented.</x:v>
      </x:c>
      <x:c r="C17" s="17" t="str"/>
      <x:c r="D17" s="17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7" customHeight="1">
      <x:c r="A1" s="4" t="str">
        <x:v>Forecast trend | last 56 days plus future 28 days</x:v>
      </x:c>
      <x:c r="B1" s="4"/>
      <x:c r="C1" s="4"/>
      <x:c r="D1" s="4"/>
    </x:row>
    <x:row r="3" ht="26" customHeight="1">
      <x:c r="A3" s="11" t="str">
        <x:v>Date</x:v>
      </x:c>
      <x:c r="B3" s="11" t="str">
        <x:v>Historical actual units</x:v>
      </x:c>
      <x:c r="C3" s="11" t="str">
        <x:v>Forecast units</x:v>
      </x:c>
      <x:c r="D3" s="11" t="str">
        <x:v>Period</x:v>
      </x:c>
    </x:row>
    <x:row r="4">
      <x:c r="A4" s="40" t="n">
        <x:v>45967</x:v>
      </x:c>
      <x:c r="B4" t="n">
        <x:v>506</x:v>
      </x:c>
      <x:c r="C4"/>
      <x:c r="D4" t="str">
        <x:v>Actual</x:v>
      </x:c>
    </x:row>
    <x:row r="5">
      <x:c r="A5" s="40" t="n">
        <x:v>45968</x:v>
      </x:c>
      <x:c r="B5" t="n">
        <x:v>623</x:v>
      </x:c>
      <x:c r="C5"/>
      <x:c r="D5" t="str">
        <x:v>Actual</x:v>
      </x:c>
    </x:row>
    <x:row r="6">
      <x:c r="A6" s="40" t="n">
        <x:v>45969</x:v>
      </x:c>
      <x:c r="B6" t="n">
        <x:v>692</x:v>
      </x:c>
      <x:c r="C6"/>
      <x:c r="D6" t="str">
        <x:v>Actual</x:v>
      </x:c>
    </x:row>
    <x:row r="7">
      <x:c r="A7" s="40" t="n">
        <x:v>45970</x:v>
      </x:c>
      <x:c r="B7" t="n">
        <x:v>545</x:v>
      </x:c>
      <x:c r="C7"/>
      <x:c r="D7" t="str">
        <x:v>Actual</x:v>
      </x:c>
    </x:row>
    <x:row r="8">
      <x:c r="A8" s="40" t="n">
        <x:v>45971</x:v>
      </x:c>
      <x:c r="B8" t="n">
        <x:v>490</x:v>
      </x:c>
      <x:c r="C8"/>
      <x:c r="D8" t="str">
        <x:v>Actual</x:v>
      </x:c>
    </x:row>
    <x:row r="9">
      <x:c r="A9" s="40" t="n">
        <x:v>45972</x:v>
      </x:c>
      <x:c r="B9" t="n">
        <x:v>504</x:v>
      </x:c>
      <x:c r="C9"/>
      <x:c r="D9" t="str">
        <x:v>Actual</x:v>
      </x:c>
    </x:row>
    <x:row r="10">
      <x:c r="A10" s="40" t="n">
        <x:v>45973</x:v>
      </x:c>
      <x:c r="B10" t="n">
        <x:v>531</x:v>
      </x:c>
      <x:c r="C10"/>
      <x:c r="D10" t="str">
        <x:v>Actual</x:v>
      </x:c>
    </x:row>
    <x:row r="11">
      <x:c r="A11" s="40" t="n">
        <x:v>45974</x:v>
      </x:c>
      <x:c r="B11" t="n">
        <x:v>595</x:v>
      </x:c>
      <x:c r="C11"/>
      <x:c r="D11" t="str">
        <x:v>Actual</x:v>
      </x:c>
    </x:row>
    <x:row r="12">
      <x:c r="A12" s="40" t="n">
        <x:v>45975</x:v>
      </x:c>
      <x:c r="B12" t="n">
        <x:v>656</x:v>
      </x:c>
      <x:c r="C12"/>
      <x:c r="D12" t="str">
        <x:v>Actual</x:v>
      </x:c>
    </x:row>
    <x:row r="13">
      <x:c r="A13" s="40" t="n">
        <x:v>45976</x:v>
      </x:c>
      <x:c r="B13" t="n">
        <x:v>673</x:v>
      </x:c>
      <x:c r="C13"/>
      <x:c r="D13" t="str">
        <x:v>Actual</x:v>
      </x:c>
    </x:row>
    <x:row r="14">
      <x:c r="A14" s="40" t="n">
        <x:v>45977</x:v>
      </x:c>
      <x:c r="B14" t="n">
        <x:v>569</x:v>
      </x:c>
      <x:c r="C14"/>
      <x:c r="D14" t="str">
        <x:v>Actual</x:v>
      </x:c>
    </x:row>
    <x:row r="15">
      <x:c r="A15" s="40" t="n">
        <x:v>45978</x:v>
      </x:c>
      <x:c r="B15" t="n">
        <x:v>519</x:v>
      </x:c>
      <x:c r="C15"/>
      <x:c r="D15" t="str">
        <x:v>Actual</x:v>
      </x:c>
    </x:row>
    <x:row r="16">
      <x:c r="A16" s="40" t="n">
        <x:v>45979</x:v>
      </x:c>
      <x:c r="B16" t="n">
        <x:v>547</x:v>
      </x:c>
      <x:c r="C16"/>
      <x:c r="D16" t="str">
        <x:v>Actual</x:v>
      </x:c>
    </x:row>
    <x:row r="17">
      <x:c r="A17" s="40" t="n">
        <x:v>45980</x:v>
      </x:c>
      <x:c r="B17" t="n">
        <x:v>542</x:v>
      </x:c>
      <x:c r="C17"/>
      <x:c r="D17" t="str">
        <x:v>Actual</x:v>
      </x:c>
    </x:row>
    <x:row r="18">
      <x:c r="A18" s="40" t="n">
        <x:v>45981</x:v>
      </x:c>
      <x:c r="B18" t="n">
        <x:v>512</x:v>
      </x:c>
      <x:c r="C18"/>
      <x:c r="D18" t="str">
        <x:v>Actual</x:v>
      </x:c>
    </x:row>
    <x:row r="19">
      <x:c r="A19" s="40" t="n">
        <x:v>45982</x:v>
      </x:c>
      <x:c r="B19" t="n">
        <x:v>757</x:v>
      </x:c>
      <x:c r="C19"/>
      <x:c r="D19" t="str">
        <x:v>Actual</x:v>
      </x:c>
    </x:row>
    <x:row r="20">
      <x:c r="A20" s="40" t="n">
        <x:v>45983</x:v>
      </x:c>
      <x:c r="B20" t="n">
        <x:v>631</x:v>
      </x:c>
      <x:c r="C20"/>
      <x:c r="D20" t="str">
        <x:v>Actual</x:v>
      </x:c>
    </x:row>
    <x:row r="21">
      <x:c r="A21" s="40" t="n">
        <x:v>45984</x:v>
      </x:c>
      <x:c r="B21" t="n">
        <x:v>551</x:v>
      </x:c>
      <x:c r="C21"/>
      <x:c r="D21" t="str">
        <x:v>Actual</x:v>
      </x:c>
    </x:row>
    <x:row r="22">
      <x:c r="A22" s="40" t="n">
        <x:v>45985</x:v>
      </x:c>
      <x:c r="B22" t="n">
        <x:v>467</x:v>
      </x:c>
      <x:c r="C22"/>
      <x:c r="D22" t="str">
        <x:v>Actual</x:v>
      </x:c>
    </x:row>
    <x:row r="23">
      <x:c r="A23" s="40" t="n">
        <x:v>45986</x:v>
      </x:c>
      <x:c r="B23" t="n">
        <x:v>455</x:v>
      </x:c>
      <x:c r="C23"/>
      <x:c r="D23" t="str">
        <x:v>Actual</x:v>
      </x:c>
    </x:row>
    <x:row r="24">
      <x:c r="A24" s="40" t="n">
        <x:v>45987</x:v>
      </x:c>
      <x:c r="B24" t="n">
        <x:v>562</x:v>
      </x:c>
      <x:c r="C24"/>
      <x:c r="D24" t="str">
        <x:v>Actual</x:v>
      </x:c>
    </x:row>
    <x:row r="25">
      <x:c r="A25" s="40" t="n">
        <x:v>45988</x:v>
      </x:c>
      <x:c r="B25" t="n">
        <x:v>519</x:v>
      </x:c>
      <x:c r="C25"/>
      <x:c r="D25" t="str">
        <x:v>Actual</x:v>
      </x:c>
    </x:row>
    <x:row r="26">
      <x:c r="A26" s="40" t="n">
        <x:v>45989</x:v>
      </x:c>
      <x:c r="B26" t="n">
        <x:v>608</x:v>
      </x:c>
      <x:c r="C26"/>
      <x:c r="D26" t="str">
        <x:v>Actual</x:v>
      </x:c>
    </x:row>
    <x:row r="27">
      <x:c r="A27" s="40" t="n">
        <x:v>45990</x:v>
      </x:c>
      <x:c r="B27" t="n">
        <x:v>628</x:v>
      </x:c>
      <x:c r="C27"/>
      <x:c r="D27" t="str">
        <x:v>Actual</x:v>
      </x:c>
    </x:row>
    <x:row r="28">
      <x:c r="A28" s="40" t="n">
        <x:v>45991</x:v>
      </x:c>
      <x:c r="B28" t="n">
        <x:v>517</x:v>
      </x:c>
      <x:c r="C28"/>
      <x:c r="D28" t="str">
        <x:v>Actual</x:v>
      </x:c>
    </x:row>
    <x:row r="29">
      <x:c r="A29" s="40" t="n">
        <x:v>45992</x:v>
      </x:c>
      <x:c r="B29" t="n">
        <x:v>465</x:v>
      </x:c>
      <x:c r="C29"/>
      <x:c r="D29" t="str">
        <x:v>Actual</x:v>
      </x:c>
    </x:row>
    <x:row r="30">
      <x:c r="A30" s="40" t="n">
        <x:v>45993</x:v>
      </x:c>
      <x:c r="B30" t="n">
        <x:v>467</x:v>
      </x:c>
      <x:c r="C30"/>
      <x:c r="D30" t="str">
        <x:v>Actual</x:v>
      </x:c>
    </x:row>
    <x:row r="31">
      <x:c r="A31" s="40" t="n">
        <x:v>45994</x:v>
      </x:c>
      <x:c r="B31" t="n">
        <x:v>576</x:v>
      </x:c>
      <x:c r="C31"/>
      <x:c r="D31" t="str">
        <x:v>Actual</x:v>
      </x:c>
    </x:row>
    <x:row r="32">
      <x:c r="A32" s="40" t="n">
        <x:v>45995</x:v>
      </x:c>
      <x:c r="B32" t="n">
        <x:v>555</x:v>
      </x:c>
      <x:c r="C32"/>
      <x:c r="D32" t="str">
        <x:v>Actual</x:v>
      </x:c>
    </x:row>
    <x:row r="33">
      <x:c r="A33" s="40" t="n">
        <x:v>45996</x:v>
      </x:c>
      <x:c r="B33" t="n">
        <x:v>633</x:v>
      </x:c>
      <x:c r="C33"/>
      <x:c r="D33" t="str">
        <x:v>Actual</x:v>
      </x:c>
    </x:row>
    <x:row r="34">
      <x:c r="A34" s="40" t="n">
        <x:v>45997</x:v>
      </x:c>
      <x:c r="B34" t="n">
        <x:v>643</x:v>
      </x:c>
      <x:c r="C34"/>
      <x:c r="D34" t="str">
        <x:v>Actual</x:v>
      </x:c>
    </x:row>
    <x:row r="35">
      <x:c r="A35" s="40" t="n">
        <x:v>45998</x:v>
      </x:c>
      <x:c r="B35" t="n">
        <x:v>549</x:v>
      </x:c>
      <x:c r="C35"/>
      <x:c r="D35" t="str">
        <x:v>Actual</x:v>
      </x:c>
    </x:row>
    <x:row r="36">
      <x:c r="A36" s="40" t="n">
        <x:v>45999</x:v>
      </x:c>
      <x:c r="B36" t="n">
        <x:v>476</x:v>
      </x:c>
      <x:c r="C36"/>
      <x:c r="D36" t="str">
        <x:v>Actual</x:v>
      </x:c>
    </x:row>
    <x:row r="37">
      <x:c r="A37" s="40" t="n">
        <x:v>46000</x:v>
      </x:c>
      <x:c r="B37" t="n">
        <x:v>431</x:v>
      </x:c>
      <x:c r="C37"/>
      <x:c r="D37" t="str">
        <x:v>Actual</x:v>
      </x:c>
    </x:row>
    <x:row r="38">
      <x:c r="A38" s="40" t="n">
        <x:v>46001</x:v>
      </x:c>
      <x:c r="B38" t="n">
        <x:v>611</x:v>
      </x:c>
      <x:c r="C38"/>
      <x:c r="D38" t="str">
        <x:v>Actual</x:v>
      </x:c>
    </x:row>
    <x:row r="39">
      <x:c r="A39" s="40" t="n">
        <x:v>46002</x:v>
      </x:c>
      <x:c r="B39" t="n">
        <x:v>572</x:v>
      </x:c>
      <x:c r="C39"/>
      <x:c r="D39" t="str">
        <x:v>Actual</x:v>
      </x:c>
    </x:row>
    <x:row r="40">
      <x:c r="A40" s="40" t="n">
        <x:v>46003</x:v>
      </x:c>
      <x:c r="B40" t="n">
        <x:v>674</x:v>
      </x:c>
      <x:c r="C40"/>
      <x:c r="D40" t="str">
        <x:v>Actual</x:v>
      </x:c>
    </x:row>
    <x:row r="41">
      <x:c r="A41" s="40" t="n">
        <x:v>46004</x:v>
      </x:c>
      <x:c r="B41" t="n">
        <x:v>677</x:v>
      </x:c>
      <x:c r="C41"/>
      <x:c r="D41" t="str">
        <x:v>Actual</x:v>
      </x:c>
    </x:row>
    <x:row r="42">
      <x:c r="A42" s="40" t="n">
        <x:v>46005</x:v>
      </x:c>
      <x:c r="B42" t="n">
        <x:v>507</x:v>
      </x:c>
      <x:c r="C42"/>
      <x:c r="D42" t="str">
        <x:v>Actual</x:v>
      </x:c>
    </x:row>
    <x:row r="43">
      <x:c r="A43" s="40" t="n">
        <x:v>46006</x:v>
      </x:c>
      <x:c r="B43" t="n">
        <x:v>489</x:v>
      </x:c>
      <x:c r="C43"/>
      <x:c r="D43" t="str">
        <x:v>Actual</x:v>
      </x:c>
    </x:row>
    <x:row r="44">
      <x:c r="A44" s="40" t="n">
        <x:v>46007</x:v>
      </x:c>
      <x:c r="B44" t="n">
        <x:v>503</x:v>
      </x:c>
      <x:c r="C44"/>
      <x:c r="D44" t="str">
        <x:v>Actual</x:v>
      </x:c>
    </x:row>
    <x:row r="45">
      <x:c r="A45" s="40" t="n">
        <x:v>46008</x:v>
      </x:c>
      <x:c r="B45" t="n">
        <x:v>514</x:v>
      </x:c>
      <x:c r="C45"/>
      <x:c r="D45" t="str">
        <x:v>Actual</x:v>
      </x:c>
    </x:row>
    <x:row r="46">
      <x:c r="A46" s="40" t="n">
        <x:v>46009</x:v>
      </x:c>
      <x:c r="B46" t="n">
        <x:v>565</x:v>
      </x:c>
      <x:c r="C46"/>
      <x:c r="D46" t="str">
        <x:v>Actual</x:v>
      </x:c>
    </x:row>
    <x:row r="47">
      <x:c r="A47" s="40" t="n">
        <x:v>46010</x:v>
      </x:c>
      <x:c r="B47" t="n">
        <x:v>663</x:v>
      </x:c>
      <x:c r="C47"/>
      <x:c r="D47" t="str">
        <x:v>Actual</x:v>
      </x:c>
    </x:row>
    <x:row r="48">
      <x:c r="A48" s="40" t="n">
        <x:v>46011</x:v>
      </x:c>
      <x:c r="B48" t="n">
        <x:v>738</x:v>
      </x:c>
      <x:c r="C48"/>
      <x:c r="D48" t="str">
        <x:v>Actual</x:v>
      </x:c>
    </x:row>
    <x:row r="49">
      <x:c r="A49" s="40" t="n">
        <x:v>46012</x:v>
      </x:c>
      <x:c r="B49" t="n">
        <x:v>542</x:v>
      </x:c>
      <x:c r="C49"/>
      <x:c r="D49" t="str">
        <x:v>Actual</x:v>
      </x:c>
    </x:row>
    <x:row r="50">
      <x:c r="A50" s="40" t="n">
        <x:v>46013</x:v>
      </x:c>
      <x:c r="B50" t="n">
        <x:v>475</x:v>
      </x:c>
      <x:c r="C50"/>
      <x:c r="D50" t="str">
        <x:v>Actual</x:v>
      </x:c>
    </x:row>
    <x:row r="51">
      <x:c r="A51" s="40" t="n">
        <x:v>46014</x:v>
      </x:c>
      <x:c r="B51" t="n">
        <x:v>514</x:v>
      </x:c>
      <x:c r="C51"/>
      <x:c r="D51" t="str">
        <x:v>Actual</x:v>
      </x:c>
    </x:row>
    <x:row r="52">
      <x:c r="A52" s="40" t="n">
        <x:v>46015</x:v>
      </x:c>
      <x:c r="B52" t="n">
        <x:v>549</x:v>
      </x:c>
      <x:c r="C52"/>
      <x:c r="D52" t="str">
        <x:v>Actual</x:v>
      </x:c>
    </x:row>
    <x:row r="53">
      <x:c r="A53" s="40" t="n">
        <x:v>46016</x:v>
      </x:c>
      <x:c r="B53" t="n">
        <x:v>547</x:v>
      </x:c>
      <x:c r="C53"/>
      <x:c r="D53" t="str">
        <x:v>Actual</x:v>
      </x:c>
    </x:row>
    <x:row r="54">
      <x:c r="A54" s="40" t="n">
        <x:v>46017</x:v>
      </x:c>
      <x:c r="B54" t="n">
        <x:v>670</x:v>
      </x:c>
      <x:c r="C54"/>
      <x:c r="D54" t="str">
        <x:v>Actual</x:v>
      </x:c>
    </x:row>
    <x:row r="55">
      <x:c r="A55" s="40" t="n">
        <x:v>46018</x:v>
      </x:c>
      <x:c r="B55" t="n">
        <x:v>651</x:v>
      </x:c>
      <x:c r="C55"/>
      <x:c r="D55" t="str">
        <x:v>Actual</x:v>
      </x:c>
    </x:row>
    <x:row r="56">
      <x:c r="A56" s="40" t="n">
        <x:v>46019</x:v>
      </x:c>
      <x:c r="B56" t="n">
        <x:v>577</x:v>
      </x:c>
      <x:c r="C56"/>
      <x:c r="D56" t="str">
        <x:v>Actual</x:v>
      </x:c>
    </x:row>
    <x:row r="57">
      <x:c r="A57" s="40" t="n">
        <x:v>46020</x:v>
      </x:c>
      <x:c r="B57" t="n">
        <x:v>482</x:v>
      </x:c>
      <x:c r="C57"/>
      <x:c r="D57" t="str">
        <x:v>Actual</x:v>
      </x:c>
    </x:row>
    <x:row r="58">
      <x:c r="A58" s="40" t="n">
        <x:v>46021</x:v>
      </x:c>
      <x:c r="B58" t="n">
        <x:v>471</x:v>
      </x:c>
      <x:c r="C58"/>
      <x:c r="D58" t="str">
        <x:v>Actual</x:v>
      </x:c>
    </x:row>
    <x:row r="59">
      <x:c r="A59" s="40" t="n">
        <x:v>46022</x:v>
      </x:c>
      <x:c r="B59" t="n">
        <x:v>539</x:v>
      </x:c>
      <x:c r="C59"/>
      <x:c r="D59" t="str">
        <x:v>Actual</x:v>
      </x:c>
    </x:row>
    <x:row r="60">
      <x:c r="A60" s="40" t="n">
        <x:v>46023</x:v>
      </x:c>
      <x:c r="B60"/>
      <x:c r="C60" t="n">
        <x:v>535.8377</x:v>
      </x:c>
      <x:c r="D60" t="str">
        <x:v>Forecast</x:v>
      </x:c>
    </x:row>
    <x:row r="61">
      <x:c r="A61" s="40" t="n">
        <x:v>46024</x:v>
      </x:c>
      <x:c r="B61"/>
      <x:c r="C61" t="n">
        <x:v>654.6416</x:v>
      </x:c>
      <x:c r="D61" t="str">
        <x:v>Forecast</x:v>
      </x:c>
    </x:row>
    <x:row r="62">
      <x:c r="A62" s="40" t="n">
        <x:v>46025</x:v>
      </x:c>
      <x:c r="B62"/>
      <x:c r="C62" t="n">
        <x:v>655.2037</x:v>
      </x:c>
      <x:c r="D62" t="str">
        <x:v>Forecast</x:v>
      </x:c>
    </x:row>
    <x:row r="63">
      <x:c r="A63" s="40" t="n">
        <x:v>46026</x:v>
      </x:c>
      <x:c r="B63"/>
      <x:c r="C63" t="n">
        <x:v>547.299</x:v>
      </x:c>
      <x:c r="D63" t="str">
        <x:v>Forecast</x:v>
      </x:c>
    </x:row>
    <x:row r="64">
      <x:c r="A64" s="40" t="n">
        <x:v>46027</x:v>
      </x:c>
      <x:c r="B64"/>
      <x:c r="C64" t="n">
        <x:v>495.8488</x:v>
      </x:c>
      <x:c r="D64" t="str">
        <x:v>Forecast</x:v>
      </x:c>
    </x:row>
    <x:row r="65">
      <x:c r="A65" s="40" t="n">
        <x:v>46028</x:v>
      </x:c>
      <x:c r="B65"/>
      <x:c r="C65" t="n">
        <x:v>492.5266</x:v>
      </x:c>
      <x:c r="D65" t="str">
        <x:v>Forecast</x:v>
      </x:c>
    </x:row>
    <x:row r="66">
      <x:c r="A66" s="40" t="n">
        <x:v>46029</x:v>
      </x:c>
      <x:c r="B66"/>
      <x:c r="C66" t="n">
        <x:v>538.6225</x:v>
      </x:c>
      <x:c r="D66" t="str">
        <x:v>Forecast</x:v>
      </x:c>
    </x:row>
    <x:row r="67">
      <x:c r="A67" s="40" t="n">
        <x:v>46030</x:v>
      </x:c>
      <x:c r="B67"/>
      <x:c r="C67" t="n">
        <x:v>537.2398000000001</x:v>
      </x:c>
      <x:c r="D67" t="str">
        <x:v>Forecast</x:v>
      </x:c>
    </x:row>
    <x:row r="68">
      <x:c r="A68" s="40" t="n">
        <x:v>46031</x:v>
      </x:c>
      <x:c r="B68"/>
      <x:c r="C68" t="n">
        <x:v>651.2463</x:v>
      </x:c>
      <x:c r="D68" t="str">
        <x:v>Forecast</x:v>
      </x:c>
    </x:row>
    <x:row r="69">
      <x:c r="A69" s="40" t="n">
        <x:v>46032</x:v>
      </x:c>
      <x:c r="B69"/>
      <x:c r="C69" t="n">
        <x:v>649.232</x:v>
      </x:c>
      <x:c r="D69" t="str">
        <x:v>Forecast</x:v>
      </x:c>
    </x:row>
    <x:row r="70">
      <x:c r="A70" s="40" t="n">
        <x:v>46033</x:v>
      </x:c>
      <x:c r="B70"/>
      <x:c r="C70" t="n">
        <x:v>544.638</x:v>
      </x:c>
      <x:c r="D70" t="str">
        <x:v>Forecast</x:v>
      </x:c>
    </x:row>
    <x:row r="71">
      <x:c r="A71" s="40" t="n">
        <x:v>46034</x:v>
      </x:c>
      <x:c r="B71"/>
      <x:c r="C71" t="n">
        <x:v>491.923</x:v>
      </x:c>
      <x:c r="D71" t="str">
        <x:v>Forecast</x:v>
      </x:c>
    </x:row>
    <x:row r="72">
      <x:c r="A72" s="40" t="n">
        <x:v>46035</x:v>
      </x:c>
      <x:c r="B72"/>
      <x:c r="C72" t="n">
        <x:v>492.6559</x:v>
      </x:c>
      <x:c r="D72" t="str">
        <x:v>Forecast</x:v>
      </x:c>
    </x:row>
    <x:row r="73">
      <x:c r="A73" s="40" t="n">
        <x:v>46036</x:v>
      </x:c>
      <x:c r="B73"/>
      <x:c r="C73" t="n">
        <x:v>534.3629</x:v>
      </x:c>
      <x:c r="D73" t="str">
        <x:v>Forecast</x:v>
      </x:c>
    </x:row>
    <x:row r="74">
      <x:c r="A74" s="40" t="n">
        <x:v>46037</x:v>
      </x:c>
      <x:c r="B74"/>
      <x:c r="C74" t="n">
        <x:v>540.7734</x:v>
      </x:c>
      <x:c r="D74" t="str">
        <x:v>Forecast</x:v>
      </x:c>
    </x:row>
    <x:row r="75">
      <x:c r="A75" s="40" t="n">
        <x:v>46038</x:v>
      </x:c>
      <x:c r="B75"/>
      <x:c r="C75" t="n">
        <x:v>651.2424</x:v>
      </x:c>
      <x:c r="D75" t="str">
        <x:v>Forecast</x:v>
      </x:c>
    </x:row>
    <x:row r="76">
      <x:c r="A76" s="40" t="n">
        <x:v>46039</x:v>
      </x:c>
      <x:c r="B76"/>
      <x:c r="C76" t="n">
        <x:v>649.7795</x:v>
      </x:c>
      <x:c r="D76" t="str">
        <x:v>Forecast</x:v>
      </x:c>
    </x:row>
    <x:row r="77">
      <x:c r="A77" s="40" t="n">
        <x:v>46040</x:v>
      </x:c>
      <x:c r="B77"/>
      <x:c r="C77" t="n">
        <x:v>541.0306</x:v>
      </x:c>
      <x:c r="D77" t="str">
        <x:v>Forecast</x:v>
      </x:c>
    </x:row>
    <x:row r="78">
      <x:c r="A78" s="40" t="n">
        <x:v>46041</x:v>
      </x:c>
      <x:c r="B78"/>
      <x:c r="C78" t="n">
        <x:v>490.15070000000003</x:v>
      </x:c>
      <x:c r="D78" t="str">
        <x:v>Forecast</x:v>
      </x:c>
    </x:row>
    <x:row r="79">
      <x:c r="A79" s="40" t="n">
        <x:v>46042</x:v>
      </x:c>
      <x:c r="B79"/>
      <x:c r="C79" t="n">
        <x:v>491.13349999999997</x:v>
      </x:c>
      <x:c r="D79" t="str">
        <x:v>Forecast</x:v>
      </x:c>
    </x:row>
    <x:row r="80">
      <x:c r="A80" s="40" t="n">
        <x:v>46043</x:v>
      </x:c>
      <x:c r="B80"/>
      <x:c r="C80" t="n">
        <x:v>533.1412</x:v>
      </x:c>
      <x:c r="D80" t="str">
        <x:v>Forecast</x:v>
      </x:c>
    </x:row>
    <x:row r="81">
      <x:c r="A81" s="40" t="n">
        <x:v>46044</x:v>
      </x:c>
      <x:c r="B81"/>
      <x:c r="C81" t="n">
        <x:v>537.5705</x:v>
      </x:c>
      <x:c r="D81" t="str">
        <x:v>Forecast</x:v>
      </x:c>
    </x:row>
    <x:row r="82">
      <x:c r="A82" s="40" t="n">
        <x:v>46045</x:v>
      </x:c>
      <x:c r="B82"/>
      <x:c r="C82" t="n">
        <x:v>648.1932</x:v>
      </x:c>
      <x:c r="D82" t="str">
        <x:v>Forecast</x:v>
      </x:c>
    </x:row>
    <x:row r="83">
      <x:c r="A83" s="40" t="n">
        <x:v>46046</x:v>
      </x:c>
      <x:c r="B83"/>
      <x:c r="C83" t="n">
        <x:v>646.835</x:v>
      </x:c>
      <x:c r="D83" t="str">
        <x:v>Forecast</x:v>
      </x:c>
    </x:row>
    <x:row r="84">
      <x:c r="A84" s="40" t="n">
        <x:v>46047</x:v>
      </x:c>
      <x:c r="B84"/>
      <x:c r="C84" t="n">
        <x:v>541.8642</x:v>
      </x:c>
      <x:c r="D84" t="str">
        <x:v>Forecast</x:v>
      </x:c>
    </x:row>
    <x:row r="85">
      <x:c r="A85" s="40" t="n">
        <x:v>46048</x:v>
      </x:c>
      <x:c r="B85"/>
      <x:c r="C85" t="n">
        <x:v>484.5815</x:v>
      </x:c>
      <x:c r="D85" t="str">
        <x:v>Forecast</x:v>
      </x:c>
    </x:row>
    <x:row r="86">
      <x:c r="A86" s="40" t="n">
        <x:v>46049</x:v>
      </x:c>
      <x:c r="B86"/>
      <x:c r="C86" t="n">
        <x:v>482.8537</x:v>
      </x:c>
      <x:c r="D86" t="str">
        <x:v>Forecast</x:v>
      </x:c>
    </x:row>
    <x:row r="87">
      <x:c r="A87" s="40" t="n">
        <x:v>46050</x:v>
      </x:c>
      <x:c r="B87"/>
      <x:c r="C87" t="n">
        <x:v>529.7784</x:v>
      </x:c>
      <x:c r="D87" t="str">
        <x:v>Forecast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af8e9a2b5074362"/>
</x:worksheet>
</file>